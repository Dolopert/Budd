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3" t="n"/>
      <c r="F2" s="4">
        <f>B2+C2+D2+E2</f>
        <v/>
      </c>
      <c r="G2" s="3" t="n"/>
      <c r="H2" s="3" t="n"/>
      <c r="I2" s="3" t="n"/>
      <c r="J2" s="3" t="n"/>
      <c r="K2" s="4">
        <f>G2+H2+I2+J2</f>
        <v/>
      </c>
      <c r="L2" s="3" t="n"/>
      <c r="M2" s="3" t="n"/>
      <c r="N2" s="3" t="n"/>
      <c r="O2" s="4">
        <f>P2-L2-M2-N2</f>
        <v/>
      </c>
      <c r="P2" t="n">
        <v>153049.242</v>
      </c>
      <c r="Q2" s="3" t="n"/>
      <c r="R2" s="3" t="n"/>
      <c r="S2" s="3" t="n"/>
      <c r="T2" s="4">
        <f>U2-Q2-R2-S2</f>
        <v/>
      </c>
      <c r="U2" t="n">
        <v>165362.272</v>
      </c>
      <c r="V2" t="n">
        <v>37267.312</v>
      </c>
      <c r="W2" t="n">
        <v>43497.069</v>
      </c>
      <c r="X2" t="n">
        <v>41174.584</v>
      </c>
      <c r="Y2" s="4">
        <f>Z2-V2-W2-X2</f>
        <v/>
      </c>
      <c r="Z2" t="n">
        <v>165804.714</v>
      </c>
    </row>
    <row r="3">
      <c r="A3" s="2" t="inlineStr">
        <is>
          <t>รายได้อื่น</t>
        </is>
      </c>
      <c r="B3" s="3" t="n"/>
      <c r="C3" s="3" t="n"/>
      <c r="D3" s="3" t="n"/>
      <c r="E3" s="3" t="n"/>
      <c r="F3" s="4">
        <f>B3+C3+D3+E3</f>
        <v/>
      </c>
      <c r="G3" s="3" t="n"/>
      <c r="H3" s="3" t="n"/>
      <c r="I3" s="3" t="n"/>
      <c r="J3" s="3" t="n"/>
      <c r="K3" s="4">
        <f>G3+H3+I3+J3</f>
        <v/>
      </c>
      <c r="L3" s="3" t="n"/>
      <c r="M3" s="3" t="n"/>
      <c r="N3" s="3" t="n"/>
      <c r="O3" s="4">
        <f>P3-L3-M3-N3</f>
        <v/>
      </c>
      <c r="P3" t="n">
        <v>2344.767</v>
      </c>
      <c r="Q3" s="3" t="n"/>
      <c r="R3" s="3" t="n"/>
      <c r="S3" s="3" t="n"/>
      <c r="T3" s="4">
        <f>U3-Q3-R3-S3</f>
        <v/>
      </c>
      <c r="U3" t="n">
        <v>2764.749</v>
      </c>
      <c r="V3" t="n">
        <v>1481.442</v>
      </c>
      <c r="W3" t="n">
        <v>1105.297</v>
      </c>
      <c r="X3" t="n">
        <v>625.543</v>
      </c>
      <c r="Y3" s="4">
        <f>Z3-V3-W3-X3</f>
        <v/>
      </c>
      <c r="Z3" t="n">
        <v>4275.181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3" t="n"/>
      <c r="F4" s="4">
        <f>B4+C4+D4+E4</f>
        <v/>
      </c>
      <c r="G4" s="3" t="n"/>
      <c r="H4" s="3" t="n"/>
      <c r="I4" s="3" t="n"/>
      <c r="J4" s="3" t="n"/>
      <c r="K4" s="4">
        <f>G4+H4+I4+J4</f>
        <v/>
      </c>
      <c r="L4" s="3" t="n"/>
      <c r="M4" s="3" t="n"/>
      <c r="N4" s="3" t="n"/>
      <c r="O4" s="4">
        <f>P4-L4-M4-N4</f>
        <v/>
      </c>
      <c r="P4" t="n">
        <v>78150.469</v>
      </c>
      <c r="Q4" s="3" t="n"/>
      <c r="R4" s="3" t="n"/>
      <c r="S4" s="3" t="n"/>
      <c r="T4" s="4">
        <f>U4-Q4-R4-S4</f>
        <v/>
      </c>
      <c r="U4" t="n">
        <v>85910.36199999999</v>
      </c>
      <c r="V4" t="n">
        <v>20008.898</v>
      </c>
      <c r="W4" t="n">
        <v>22101.435</v>
      </c>
      <c r="X4" t="n">
        <v>21956.753</v>
      </c>
      <c r="Y4" s="4">
        <f>Z4-V4-W4-X4</f>
        <v/>
      </c>
      <c r="Z4" t="n">
        <v>86221.785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3" t="n"/>
      <c r="F5" s="4">
        <f>B5+C5+D5+E5</f>
        <v/>
      </c>
      <c r="G5" s="3" t="n"/>
      <c r="H5" s="3" t="n"/>
      <c r="I5" s="3" t="n"/>
      <c r="J5" s="3" t="n"/>
      <c r="K5" s="4">
        <f>G5+H5+I5+J5</f>
        <v/>
      </c>
      <c r="L5" s="3" t="n"/>
      <c r="M5" s="3" t="n"/>
      <c r="N5" s="3" t="n"/>
      <c r="O5" s="4">
        <f>P5-L5-M5-N5</f>
        <v/>
      </c>
      <c r="P5" t="n">
        <v>6087.974</v>
      </c>
      <c r="Q5" s="3" t="n"/>
      <c r="R5" s="3" t="n"/>
      <c r="S5" s="3" t="n"/>
      <c r="T5" s="4">
        <f>U5-Q5-R5-S5</f>
        <v/>
      </c>
      <c r="U5" t="n">
        <v>8601.924000000001</v>
      </c>
      <c r="V5" t="n">
        <v>611.516</v>
      </c>
      <c r="W5" t="n">
        <v>3322.548</v>
      </c>
      <c r="X5" t="n">
        <v>2667.974</v>
      </c>
      <c r="Y5" s="4">
        <f>Z5-V5-W5-X5</f>
        <v/>
      </c>
      <c r="Z5" t="n">
        <v>9839.333000000001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3" t="n"/>
      <c r="F6" s="4">
        <f>B6+C6+D6+E6</f>
        <v/>
      </c>
      <c r="G6" s="3" t="n"/>
      <c r="H6" s="3" t="n"/>
      <c r="I6" s="3" t="n"/>
      <c r="J6" s="3" t="n"/>
      <c r="K6" s="4">
        <f>G6+H6+I6+J6</f>
        <v/>
      </c>
      <c r="L6" s="3" t="n"/>
      <c r="M6" s="3" t="n"/>
      <c r="N6" s="3" t="n"/>
      <c r="O6" s="4">
        <f>P6-L6-M6-N6</f>
        <v/>
      </c>
      <c r="P6" t="n">
        <v>5407.055</v>
      </c>
      <c r="Q6" s="3" t="n"/>
      <c r="R6" s="3" t="n"/>
      <c r="S6" s="3" t="n"/>
      <c r="T6" s="4">
        <f>U6-Q6-R6-S6</f>
        <v/>
      </c>
      <c r="U6" t="n">
        <v>7750.222</v>
      </c>
      <c r="V6" t="n">
        <v>416.865</v>
      </c>
      <c r="W6" t="n">
        <v>3085.506</v>
      </c>
      <c r="X6" t="n">
        <v>2553.479</v>
      </c>
      <c r="Y6" s="4">
        <f>Z6-V6-W6-X6</f>
        <v/>
      </c>
      <c r="Z6" t="n">
        <v>9009.342000000001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t="n">
        <v>17052.269</v>
      </c>
      <c r="K2" s="3" t="n"/>
      <c r="L2" s="3" t="n"/>
      <c r="M2" s="3" t="n"/>
      <c r="N2" t="n">
        <v>18487.349</v>
      </c>
      <c r="O2" s="3" t="n"/>
      <c r="P2" s="3" t="n"/>
      <c r="Q2" s="3" t="n"/>
      <c r="R2" t="n">
        <v>13970.341</v>
      </c>
      <c r="S2" t="n">
        <v>14945.937</v>
      </c>
      <c r="T2" t="n">
        <v>15751.811</v>
      </c>
      <c r="U2" t="n">
        <v>17466.545</v>
      </c>
      <c r="V2" t="n">
        <v>15911.602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t="n">
        <v>3909.198</v>
      </c>
      <c r="K3" s="3" t="n"/>
      <c r="L3" s="3" t="n"/>
      <c r="M3" s="3" t="n"/>
      <c r="N3" t="n">
        <v>3820.416</v>
      </c>
      <c r="O3" s="3" t="n"/>
      <c r="P3" s="3" t="n"/>
      <c r="Q3" s="3" t="n"/>
      <c r="R3" t="n">
        <v>3917.636</v>
      </c>
      <c r="S3" t="n">
        <v>4088.494</v>
      </c>
      <c r="T3" t="n">
        <v>4157.115</v>
      </c>
      <c r="U3" t="n">
        <v>4137.789</v>
      </c>
      <c r="V3" t="n">
        <v>3921.48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t="n">
        <v>21806.521</v>
      </c>
      <c r="K4" s="3" t="n"/>
      <c r="L4" s="3" t="n"/>
      <c r="M4" s="3" t="n"/>
      <c r="N4" t="n">
        <v>24953.308</v>
      </c>
      <c r="O4" s="3" t="n"/>
      <c r="P4" s="3" t="n"/>
      <c r="Q4" s="3" t="n"/>
      <c r="R4" t="n">
        <v>24414.611</v>
      </c>
      <c r="S4" t="n">
        <v>22052.993</v>
      </c>
      <c r="T4" t="n">
        <v>24610.107</v>
      </c>
      <c r="U4" t="n">
        <v>23955.136</v>
      </c>
      <c r="V4" t="n">
        <v>25606.359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t="n">
        <v>358209.761</v>
      </c>
      <c r="K5" s="3" t="n"/>
      <c r="L5" s="3" t="n"/>
      <c r="M5" s="3" t="n"/>
      <c r="N5" t="n">
        <v>359195.923</v>
      </c>
      <c r="O5" s="3" t="n"/>
      <c r="P5" s="3" t="n"/>
      <c r="Q5" s="3" t="n"/>
      <c r="R5" t="n">
        <v>346844.932</v>
      </c>
      <c r="S5" t="n">
        <v>355544.01</v>
      </c>
      <c r="T5" t="n">
        <v>366301.08</v>
      </c>
      <c r="U5" t="n">
        <v>356649.372</v>
      </c>
      <c r="V5" t="n">
        <v>357329.667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t="n">
        <v>82608.97</v>
      </c>
      <c r="K6" s="3" t="n"/>
      <c r="L6" s="3" t="n"/>
      <c r="M6" s="3" t="n"/>
      <c r="N6" t="n">
        <v>87294.557</v>
      </c>
      <c r="O6" s="3" t="n"/>
      <c r="P6" s="3" t="n"/>
      <c r="Q6" s="3" t="n"/>
      <c r="R6" t="n">
        <v>99136.83100000001</v>
      </c>
      <c r="S6" t="n">
        <v>98317.427</v>
      </c>
      <c r="T6" t="n">
        <v>99185.386</v>
      </c>
      <c r="U6" t="n">
        <v>94833.336</v>
      </c>
      <c r="V6" t="n">
        <v>96985.65700000001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t="n">
        <v>275600.791</v>
      </c>
      <c r="K7" s="3" t="n"/>
      <c r="L7" s="3" t="n"/>
      <c r="M7" s="3" t="n"/>
      <c r="N7" t="n">
        <v>271901.367</v>
      </c>
      <c r="O7" s="3" t="n"/>
      <c r="P7" s="3" t="n"/>
      <c r="Q7" s="3" t="n"/>
      <c r="R7" t="n">
        <v>247708.101</v>
      </c>
      <c r="S7" t="n">
        <v>257226.583</v>
      </c>
      <c r="T7" t="n">
        <v>267115.694</v>
      </c>
      <c r="U7" t="n">
        <v>261816.036</v>
      </c>
      <c r="V7" t="n">
        <v>260344.009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MINT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FY/2566,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2026-07-23T18:05:07Z</dcterms:created>
  <dcterms:modified xmlns:dcterms="http://purl.org/dc/terms/" xmlns:xsi="http://www.w3.org/2001/XMLSchema-instance" xsi:type="dcterms:W3CDTF">2026-07-23T18:05:07Z</dcterms:modified>
</cp:coreProperties>
</file>