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161.421</v>
      </c>
      <c r="C2" t="n">
        <v>143.655</v>
      </c>
      <c r="D2" t="n">
        <v>146.768</v>
      </c>
      <c r="E2" s="3">
        <f>F2-B2-C2-D2</f>
        <v/>
      </c>
      <c r="F2" t="n">
        <v>599.845</v>
      </c>
      <c r="G2" t="n">
        <v>173.164</v>
      </c>
      <c r="H2" t="n">
        <v>210.576</v>
      </c>
      <c r="I2" t="n">
        <v>255.119</v>
      </c>
      <c r="J2" s="3">
        <f>K2-G2-H2-I2</f>
        <v/>
      </c>
      <c r="K2" t="n">
        <v>924.299</v>
      </c>
      <c r="L2" t="n">
        <v>299.966</v>
      </c>
      <c r="M2" t="n">
        <v>289.335</v>
      </c>
      <c r="N2" t="n">
        <v>307.831</v>
      </c>
      <c r="O2" s="3">
        <f>P2-L2-M2-N2</f>
        <v/>
      </c>
      <c r="P2" t="n">
        <v>1188.482</v>
      </c>
      <c r="Q2" t="n">
        <v>316.06</v>
      </c>
      <c r="R2" t="n">
        <v>306.951</v>
      </c>
      <c r="S2" t="n">
        <v>326.359</v>
      </c>
      <c r="T2" s="3">
        <f>U2-Q2-R2-S2</f>
        <v/>
      </c>
      <c r="U2" t="n">
        <v>1275.109</v>
      </c>
      <c r="V2" t="n">
        <v>342.684</v>
      </c>
      <c r="W2" t="n">
        <v>306.205</v>
      </c>
      <c r="X2" t="n">
        <v>321.648</v>
      </c>
      <c r="Y2" s="3">
        <f>Z2-V2-W2-X2</f>
        <v/>
      </c>
      <c r="Z2" t="n">
        <v>1364.564</v>
      </c>
    </row>
    <row r="3">
      <c r="A3" s="2" t="inlineStr">
        <is>
          <t>รายได้อื่น</t>
        </is>
      </c>
      <c r="B3" t="n">
        <v>12.568</v>
      </c>
      <c r="C3" t="n">
        <v>13.539</v>
      </c>
      <c r="D3" t="n">
        <v>8.788</v>
      </c>
      <c r="E3" s="3">
        <f>F3-B3-C3-D3</f>
        <v/>
      </c>
      <c r="F3" t="n">
        <v>48.375</v>
      </c>
      <c r="G3" t="n">
        <v>10.123</v>
      </c>
      <c r="H3" t="n">
        <v>11.369</v>
      </c>
      <c r="I3" t="n">
        <v>12.28</v>
      </c>
      <c r="J3" s="3">
        <f>K3-G3-H3-I3</f>
        <v/>
      </c>
      <c r="K3" t="n">
        <v>45.181</v>
      </c>
      <c r="L3" t="n">
        <v>15.717</v>
      </c>
      <c r="M3" t="n">
        <v>16.357</v>
      </c>
      <c r="N3" t="n">
        <v>22.347</v>
      </c>
      <c r="O3" s="3">
        <f>P3-L3-M3-N3</f>
        <v/>
      </c>
      <c r="P3" t="n">
        <v>72.435</v>
      </c>
      <c r="Q3" t="n">
        <v>15.012</v>
      </c>
      <c r="R3" t="n">
        <v>19.732</v>
      </c>
      <c r="S3" t="n">
        <v>15.012</v>
      </c>
      <c r="T3" s="3">
        <f>U3-Q3-R3-S3</f>
        <v/>
      </c>
      <c r="U3" t="n">
        <v>77.119</v>
      </c>
      <c r="V3" t="n">
        <v>19.762</v>
      </c>
      <c r="W3" t="n">
        <v>19.916</v>
      </c>
      <c r="X3" t="n">
        <v>23.877</v>
      </c>
      <c r="Y3" s="3">
        <f>Z3-V3-W3-X3</f>
        <v/>
      </c>
      <c r="Z3" t="n">
        <v>80.027</v>
      </c>
    </row>
    <row r="4">
      <c r="A4" s="2" t="inlineStr">
        <is>
          <t>ต้นทุนขาย (จริง)</t>
        </is>
      </c>
      <c r="B4" t="n">
        <v>155.453</v>
      </c>
      <c r="C4" t="n">
        <v>150.548</v>
      </c>
      <c r="D4" t="n">
        <v>137.157</v>
      </c>
      <c r="E4" s="3">
        <f>F4-B4-C4-D4</f>
        <v/>
      </c>
      <c r="F4" t="n">
        <v>603.606</v>
      </c>
      <c r="G4" t="n">
        <v>161.775</v>
      </c>
      <c r="H4" t="n">
        <v>179.281</v>
      </c>
      <c r="I4" t="n">
        <v>201.105</v>
      </c>
      <c r="J4" s="3">
        <f>K4-G4-H4-I4</f>
        <v/>
      </c>
      <c r="K4" t="n">
        <v>747.973</v>
      </c>
      <c r="L4" t="n">
        <v>219.817</v>
      </c>
      <c r="M4" t="n">
        <v>220.397</v>
      </c>
      <c r="N4" t="n">
        <v>223.495</v>
      </c>
      <c r="O4" s="3">
        <f>P4-L4-M4-N4</f>
        <v/>
      </c>
      <c r="P4" t="n">
        <v>876.527</v>
      </c>
      <c r="Q4" t="n">
        <v>220.309</v>
      </c>
      <c r="R4" t="n">
        <v>222.275</v>
      </c>
      <c r="S4" t="n">
        <v>241.647</v>
      </c>
      <c r="T4" s="3">
        <f>U4-Q4-R4-S4</f>
        <v/>
      </c>
      <c r="U4" t="n">
        <v>921.247</v>
      </c>
      <c r="V4" t="n">
        <v>233.19</v>
      </c>
      <c r="W4" t="n">
        <v>233.988</v>
      </c>
      <c r="X4" t="n">
        <v>236.609</v>
      </c>
      <c r="Y4" s="3">
        <f>Z4-V4-W4-X4</f>
        <v/>
      </c>
      <c r="Z4" t="n">
        <v>942.602</v>
      </c>
    </row>
    <row r="5">
      <c r="A5" s="2" t="inlineStr">
        <is>
          <t>กำไรสุทธิ (รวม)</t>
        </is>
      </c>
      <c r="B5" t="n">
        <v>-48.5</v>
      </c>
      <c r="C5" t="n">
        <v>-58.89</v>
      </c>
      <c r="D5" t="n">
        <v>-37.553</v>
      </c>
      <c r="E5" s="3">
        <f>F5-B5-C5-D5</f>
        <v/>
      </c>
      <c r="F5" t="n">
        <v>-210.623</v>
      </c>
      <c r="G5" t="n">
        <v>-49.978</v>
      </c>
      <c r="H5" t="n">
        <v>-35.144</v>
      </c>
      <c r="I5" t="n">
        <v>-25.28</v>
      </c>
      <c r="J5" s="3">
        <f>K5-G5-H5-I5</f>
        <v/>
      </c>
      <c r="K5" t="n">
        <v>-112.271</v>
      </c>
      <c r="L5" t="n">
        <v>-13.24</v>
      </c>
      <c r="M5" t="n">
        <v>-5.875</v>
      </c>
      <c r="N5" t="n">
        <v>5.997</v>
      </c>
      <c r="O5" s="3">
        <f>P5-L5-M5-N5</f>
        <v/>
      </c>
      <c r="P5" t="n">
        <v>-60.57</v>
      </c>
      <c r="Q5" t="n">
        <v>0.722</v>
      </c>
      <c r="R5" t="n">
        <v>-4.117</v>
      </c>
      <c r="S5" t="n">
        <v>-4.096</v>
      </c>
      <c r="T5" s="3">
        <f>U5-Q5-R5-S5</f>
        <v/>
      </c>
      <c r="U5" t="n">
        <v>-5.596</v>
      </c>
      <c r="V5" t="n">
        <v>14.423</v>
      </c>
      <c r="W5" t="n">
        <v>-14.973</v>
      </c>
      <c r="X5" t="n">
        <v>-6.092</v>
      </c>
      <c r="Y5" s="3">
        <f>Z5-V5-W5-X5</f>
        <v/>
      </c>
      <c r="Z5" t="n">
        <v>-3.355</v>
      </c>
    </row>
    <row r="6">
      <c r="A6" s="2" t="inlineStr">
        <is>
          <t>กำไรสุทธิ (ส่วนแม่)</t>
        </is>
      </c>
      <c r="B6" s="4" t="n"/>
      <c r="C6" t="n">
        <v>-58.854</v>
      </c>
      <c r="D6" t="n">
        <v>-36.74</v>
      </c>
      <c r="E6" s="4" t="n"/>
      <c r="F6" s="3">
        <f>B6+C6+D6+E6</f>
        <v/>
      </c>
      <c r="G6" s="4" t="n"/>
      <c r="H6" t="n">
        <v>-35.074</v>
      </c>
      <c r="I6" t="n">
        <v>-24.879</v>
      </c>
      <c r="J6" s="4" t="n"/>
      <c r="K6" s="3">
        <f>G6+H6+I6+J6</f>
        <v/>
      </c>
      <c r="L6" s="4" t="n"/>
      <c r="M6" t="n">
        <v>-5.349</v>
      </c>
      <c r="N6" t="n">
        <v>6.344</v>
      </c>
      <c r="O6" s="4" t="n"/>
      <c r="P6" s="3">
        <f>L6+M6+N6+O6</f>
        <v/>
      </c>
      <c r="Q6" s="4" t="n"/>
      <c r="R6" t="n">
        <v>-3.459</v>
      </c>
      <c r="S6" t="n">
        <v>-3.001</v>
      </c>
      <c r="T6" s="4" t="n"/>
      <c r="U6" s="3">
        <f>Q6+R6+S6+T6</f>
        <v/>
      </c>
      <c r="V6" s="4" t="n"/>
      <c r="W6" t="n">
        <v>-14.469</v>
      </c>
      <c r="X6" t="n">
        <v>-5.466</v>
      </c>
      <c r="Y6" s="4" t="n"/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136.25</v>
      </c>
      <c r="C2" t="n">
        <v>145.444</v>
      </c>
      <c r="D2" t="n">
        <v>139.641</v>
      </c>
      <c r="E2" t="n">
        <v>198.409</v>
      </c>
      <c r="F2" t="n">
        <v>134.447</v>
      </c>
      <c r="G2" t="n">
        <v>140.663</v>
      </c>
      <c r="H2" t="n">
        <v>142.238</v>
      </c>
      <c r="I2" t="n">
        <v>127.504</v>
      </c>
      <c r="J2" t="n">
        <v>137.68</v>
      </c>
      <c r="K2" t="n">
        <v>150.621</v>
      </c>
      <c r="L2" t="n">
        <v>143.885</v>
      </c>
      <c r="M2" t="n">
        <v>149.662</v>
      </c>
      <c r="N2" t="n">
        <v>122.044</v>
      </c>
      <c r="O2" t="n">
        <v>125.417</v>
      </c>
      <c r="P2" t="n">
        <v>115.971</v>
      </c>
      <c r="Q2" t="n">
        <v>105.384</v>
      </c>
      <c r="R2" t="n">
        <v>87.279</v>
      </c>
      <c r="S2" t="n">
        <v>83.364</v>
      </c>
      <c r="T2" t="n">
        <v>80.907</v>
      </c>
      <c r="U2" t="n">
        <v>89.843</v>
      </c>
      <c r="V2" t="n">
        <v>90.57299999999999</v>
      </c>
    </row>
    <row r="3">
      <c r="A3" s="2" t="inlineStr">
        <is>
          <t>สินค้าคงเหลือ</t>
        </is>
      </c>
      <c r="B3" t="n">
        <v>40.331</v>
      </c>
      <c r="C3" t="n">
        <v>39.374</v>
      </c>
      <c r="D3" t="n">
        <v>39.459</v>
      </c>
      <c r="E3" t="n">
        <v>39.702</v>
      </c>
      <c r="F3" t="n">
        <v>39.693</v>
      </c>
      <c r="G3" t="n">
        <v>39.429</v>
      </c>
      <c r="H3" t="n">
        <v>39.954</v>
      </c>
      <c r="I3" t="n">
        <v>39.43</v>
      </c>
      <c r="J3" t="n">
        <v>40.001</v>
      </c>
      <c r="K3" t="n">
        <v>40.924</v>
      </c>
      <c r="L3" t="n">
        <v>41.095</v>
      </c>
      <c r="M3" t="n">
        <v>42.135</v>
      </c>
      <c r="N3" t="n">
        <v>43.539</v>
      </c>
      <c r="O3" t="n">
        <v>43.141</v>
      </c>
      <c r="P3" t="n">
        <v>43.78</v>
      </c>
      <c r="Q3" t="n">
        <v>44.865</v>
      </c>
      <c r="R3" t="n">
        <v>46.247</v>
      </c>
      <c r="S3" t="n">
        <v>45.81</v>
      </c>
      <c r="T3" t="n">
        <v>45.767</v>
      </c>
      <c r="U3" t="n">
        <v>45.987</v>
      </c>
      <c r="V3" t="n">
        <v>46.002</v>
      </c>
    </row>
    <row r="4">
      <c r="A4" s="2" t="inlineStr">
        <is>
          <t>เจ้าหนี้การค้า</t>
        </is>
      </c>
      <c r="B4" t="n">
        <v>116.615</v>
      </c>
      <c r="C4" t="n">
        <v>103.557</v>
      </c>
      <c r="D4" t="n">
        <v>86.577</v>
      </c>
      <c r="E4" t="n">
        <v>92.384</v>
      </c>
      <c r="F4" t="n">
        <v>82.438</v>
      </c>
      <c r="G4" t="n">
        <v>82.773</v>
      </c>
      <c r="H4" t="n">
        <v>100.259</v>
      </c>
      <c r="I4" t="n">
        <v>109.055</v>
      </c>
      <c r="J4" t="n">
        <v>116.107</v>
      </c>
      <c r="K4" t="n">
        <v>125.439</v>
      </c>
      <c r="L4" t="n">
        <v>118.84</v>
      </c>
      <c r="M4" t="n">
        <v>118.148</v>
      </c>
      <c r="N4" t="n">
        <v>118.752</v>
      </c>
      <c r="O4" t="n">
        <v>123.558</v>
      </c>
      <c r="P4" t="n">
        <v>123.974</v>
      </c>
      <c r="Q4" t="n">
        <v>122.209</v>
      </c>
      <c r="R4" t="n">
        <v>140.797</v>
      </c>
      <c r="S4" t="n">
        <v>122.033</v>
      </c>
      <c r="T4" t="n">
        <v>118.6</v>
      </c>
      <c r="U4" t="n">
        <v>119.99</v>
      </c>
      <c r="V4" t="n">
        <v>150.322</v>
      </c>
    </row>
    <row r="5">
      <c r="A5" s="2" t="inlineStr">
        <is>
          <t>สินทรัพย์รวม</t>
        </is>
      </c>
      <c r="B5" t="n">
        <v>9569.273999999999</v>
      </c>
      <c r="C5" t="n">
        <v>9453.575999999999</v>
      </c>
      <c r="D5" t="n">
        <v>9433.053</v>
      </c>
      <c r="E5" t="n">
        <v>9416.727000000001</v>
      </c>
      <c r="F5" t="n">
        <v>10500.936</v>
      </c>
      <c r="G5" t="n">
        <v>10401.72</v>
      </c>
      <c r="H5" t="n">
        <v>10389.057</v>
      </c>
      <c r="I5" t="n">
        <v>10415.012</v>
      </c>
      <c r="J5" t="n">
        <v>10456.552</v>
      </c>
      <c r="K5" t="n">
        <v>10324.99</v>
      </c>
      <c r="L5" t="n">
        <v>10277.756</v>
      </c>
      <c r="M5" t="n">
        <v>10250.041</v>
      </c>
      <c r="N5" t="n">
        <v>10212.295</v>
      </c>
      <c r="O5" t="n">
        <v>10195.015</v>
      </c>
      <c r="P5" t="n">
        <v>10337.145</v>
      </c>
      <c r="Q5" t="n">
        <v>10147.093</v>
      </c>
      <c r="R5" t="n">
        <v>10140.751</v>
      </c>
      <c r="S5" t="n">
        <v>10218.289</v>
      </c>
      <c r="T5" t="n">
        <v>10013.388</v>
      </c>
      <c r="U5" t="n">
        <v>9975.582</v>
      </c>
      <c r="V5" t="n">
        <v>10336.316</v>
      </c>
    </row>
    <row r="6">
      <c r="A6" s="2" t="inlineStr">
        <is>
          <t>ส่วนของเจ้าของรวม</t>
        </is>
      </c>
      <c r="B6" t="n">
        <v>5340.39</v>
      </c>
      <c r="C6" t="n">
        <v>5272.208</v>
      </c>
      <c r="D6" t="n">
        <v>5225.804</v>
      </c>
      <c r="E6" t="n">
        <v>5220.527</v>
      </c>
      <c r="F6" t="n">
        <v>6070.568</v>
      </c>
      <c r="G6" t="n">
        <v>6056.51</v>
      </c>
      <c r="H6" t="n">
        <v>6057.951</v>
      </c>
      <c r="I6" t="n">
        <v>6077.899</v>
      </c>
      <c r="J6" t="n">
        <v>6092.038</v>
      </c>
      <c r="K6" t="n">
        <v>6072.954</v>
      </c>
      <c r="L6" t="n">
        <v>6068.102</v>
      </c>
      <c r="M6" t="n">
        <v>6085.32</v>
      </c>
      <c r="N6" t="n">
        <v>6049.842</v>
      </c>
      <c r="O6" t="n">
        <v>6075.806</v>
      </c>
      <c r="P6" t="n">
        <v>6073.584</v>
      </c>
      <c r="Q6" t="n">
        <v>5982.58</v>
      </c>
      <c r="R6" t="n">
        <v>6008.757</v>
      </c>
      <c r="S6" t="n">
        <v>6021.921</v>
      </c>
      <c r="T6" t="n">
        <v>5951.899</v>
      </c>
      <c r="U6" t="n">
        <v>5943.492</v>
      </c>
      <c r="V6" t="n">
        <v>5913.129</v>
      </c>
    </row>
    <row r="7">
      <c r="A7" s="2" t="inlineStr">
        <is>
          <t>หนี้สินรวม</t>
        </is>
      </c>
      <c r="B7" t="n">
        <v>4228.883</v>
      </c>
      <c r="C7" t="n">
        <v>4181.369</v>
      </c>
      <c r="D7" t="n">
        <v>4207.248</v>
      </c>
      <c r="E7" t="n">
        <v>4196.199</v>
      </c>
      <c r="F7" t="n">
        <v>4430.368</v>
      </c>
      <c r="G7" t="n">
        <v>4345.21</v>
      </c>
      <c r="H7" t="n">
        <v>4331.106</v>
      </c>
      <c r="I7" t="n">
        <v>4337.113</v>
      </c>
      <c r="J7" t="n">
        <v>4364.514</v>
      </c>
      <c r="K7" t="n">
        <v>4252.036</v>
      </c>
      <c r="L7" t="n">
        <v>4209.654</v>
      </c>
      <c r="M7" t="n">
        <v>4164.722</v>
      </c>
      <c r="N7" t="n">
        <v>4162.454</v>
      </c>
      <c r="O7" t="n">
        <v>4119.209</v>
      </c>
      <c r="P7" t="n">
        <v>4263.561</v>
      </c>
      <c r="Q7" t="n">
        <v>4164.514</v>
      </c>
      <c r="R7" t="n">
        <v>4131.994</v>
      </c>
      <c r="S7" t="n">
        <v>4196.368</v>
      </c>
      <c r="T7" t="n">
        <v>4061.489</v>
      </c>
      <c r="U7" t="n">
        <v>4032.09</v>
      </c>
      <c r="V7" t="n">
        <v>4423.187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ASIA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2026-07-24T05:59:28Z</dcterms:created>
  <dcterms:modified xmlns:dcterms="http://purl.org/dc/terms/" xmlns:xsi="http://www.w3.org/2001/XMLSchema-instance" xsi:type="dcterms:W3CDTF">2026-07-24T05:59:28Z</dcterms:modified>
</cp:coreProperties>
</file>