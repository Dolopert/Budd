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A_Cumulative_Input" sheetId="1" state="visible" r:id="rId3"/>
    <sheet name="BalanceSheet_Input" sheetId="2" state="visible" r:id="rId4"/>
    <sheet name="MINT_Quarterly" sheetId="3" state="visible" r:id="rId5"/>
    <sheet name="Notes" sheetId="4" state="visible" r:id="rId6"/>
    <sheet name="IncomeStatement_Actual" sheetId="5" state="visible" r:id="rId7"/>
    <sheet name="Methodology_CFA" sheetId="6" state="visible" r:id="rId8"/>
    <sheet name="Methodology_ReverseE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<sst xmlns="http://schemas.openxmlformats.org/spreadsheetml/2006/main" count="488" uniqueCount="178">
  <si>
    <t xml:space="preserve">รายการ (สะสม ณ สิ้นงวด)</t>
  </si>
  <si>
    <t xml:space="preserve">2564_Q1(3m)</t>
  </si>
  <si>
    <t xml:space="preserve">2564_6M</t>
  </si>
  <si>
    <t xml:space="preserve">2564_9M</t>
  </si>
  <si>
    <t xml:space="preserve">2564_FY(12m)</t>
  </si>
  <si>
    <t xml:space="preserve">2565_Q1(3m)</t>
  </si>
  <si>
    <t xml:space="preserve">2565_6M</t>
  </si>
  <si>
    <t xml:space="preserve">2565_9M</t>
  </si>
  <si>
    <t xml:space="preserve">2565_FY(12m)</t>
  </si>
  <si>
    <t xml:space="preserve">2566_Q1(3m)</t>
  </si>
  <si>
    <t xml:space="preserve">2566_6M</t>
  </si>
  <si>
    <t xml:space="preserve">2566_9M</t>
  </si>
  <si>
    <t xml:space="preserve">2566_FY(12m)</t>
  </si>
  <si>
    <t xml:space="preserve">2567_Q1(3m)</t>
  </si>
  <si>
    <t xml:space="preserve">2567_6M</t>
  </si>
  <si>
    <t xml:space="preserve">2567_9M</t>
  </si>
  <si>
    <t xml:space="preserve">2567_FY(12m)</t>
  </si>
  <si>
    <t xml:space="preserve">2568_Q1(3m)</t>
  </si>
  <si>
    <t xml:space="preserve">2568_6M</t>
  </si>
  <si>
    <t xml:space="preserve">2568_9M</t>
  </si>
  <si>
    <t xml:space="preserve">2568_FY(12m)</t>
  </si>
  <si>
    <t xml:space="preserve">แหล่งอ้างอิง</t>
  </si>
  <si>
    <t xml:space="preserve">รายได้รวม (ตามที่รายงาน, ล้านบาท)</t>
  </si>
  <si>
    <t xml:space="preserve">รอไฟล์</t>
  </si>
  <si>
    <t xml:space="preserve">MD&amp;A MINT ทุกไตรมาส - ตาราง "ผลการดำเนินงาน" (ตามที่รายงาน)</t>
  </si>
  <si>
    <t xml:space="preserve">อัตรากำไรขั้นต้น (%, สะสม)</t>
  </si>
  <si>
    <t xml:space="preserve">MD&amp;A MINT - ตาราง "อัตราส่วนทางการเงิน"</t>
  </si>
  <si>
    <t xml:space="preserve">EBITDA (Core, สะสม, ล้านบาท)</t>
  </si>
  <si>
    <t xml:space="preserve">MD&amp;A MINT - ตาราง "ผลการดำเนินงาน" (จากการดำเนินงาน*)</t>
  </si>
  <si>
    <t xml:space="preserve">กำไรสุทธิ (Core, สะสม, ล้านบาท)</t>
  </si>
  <si>
    <t xml:space="preserve">สีน้ำเงิน = ข้อมูลจริงจาก MD&amp;A (ปี 2568) | "รอไฟล์" = ยังไม่ได้รับ MD&amp;A ปี 2564-2567</t>
  </si>
  <si>
    <t xml:space="preserve">รายการ (ยอดคงเหลือ ณ วันที่, ล้านบาท)</t>
  </si>
  <si>
    <t xml:space="preserve">31-Dec-2567(ต้นปี)</t>
  </si>
  <si>
    <t xml:space="preserve">31-Mar-2568</t>
  </si>
  <si>
    <t xml:space="preserve">30-Jun-2568</t>
  </si>
  <si>
    <t xml:space="preserve">30-Sep-2568</t>
  </si>
  <si>
    <t xml:space="preserve">31-Dec-2568</t>
  </si>
  <si>
    <t xml:space="preserve">ลูกหนี้การค้าและลูกหนี้หมุนเวียนอื่น - สุทธิ</t>
  </si>
  <si>
    <t xml:space="preserve">งบฐานะการเงิน MINT (SET-filed CSV) แต่ละไตรมาส 2568 คอลัมน์ "ข้อมูลทางการเงินรวม"</t>
  </si>
  <si>
    <t xml:space="preserve">สินค้าคงเหลือ</t>
  </si>
  <si>
    <t xml:space="preserve">งบฐานะการเงิน MINT (SET-filed CSV) แต่ละไตรมาส 2568</t>
  </si>
  <si>
    <t xml:space="preserve">เจ้าหนี้การค้าและเจ้าหนี้หมุนเวียนอื่น</t>
  </si>
  <si>
    <t xml:space="preserve">สินทรัพย์รวม</t>
  </si>
  <si>
    <t xml:space="preserve">ส่วนของเจ้าของรวม</t>
  </si>
  <si>
    <t xml:space="preserve">หมายเหตุ: ค่าทั้งหมดแปลงหน่วยจากพันบาท(CSV งบดุล Mar/Jun/Sep) และบาท(CSV งบดุล Dec) เป็นล้านบาท ให้หน่วยตรงกับ MD&amp;A | คอลัมน์ 31-Dec-2567 คือยอดต้นปี (=ปลายปีก่อนหน้า) ดึงจากคอลัมน์เทียบในแต่ละไฟล์งบดุล</t>
  </si>
  <si>
    <t xml:space="preserve">รายการ</t>
  </si>
  <si>
    <t xml:space="preserve">Q1/2564</t>
  </si>
  <si>
    <t xml:space="preserve">Q2/2564</t>
  </si>
  <si>
    <t xml:space="preserve">Q3/2564</t>
  </si>
  <si>
    <t xml:space="preserve">Q4/2564</t>
  </si>
  <si>
    <t xml:space="preserve">Q1/2565</t>
  </si>
  <si>
    <t xml:space="preserve">Q2/2565</t>
  </si>
  <si>
    <t xml:space="preserve">Q3/2565</t>
  </si>
  <si>
    <t xml:space="preserve">Q4/2565</t>
  </si>
  <si>
    <t xml:space="preserve">Q1/2566</t>
  </si>
  <si>
    <t xml:space="preserve">Q2/2566</t>
  </si>
  <si>
    <t xml:space="preserve">Q3/2566</t>
  </si>
  <si>
    <t xml:space="preserve">Q4/2566</t>
  </si>
  <si>
    <t xml:space="preserve">Q1/2567</t>
  </si>
  <si>
    <t xml:space="preserve">Q2/2567</t>
  </si>
  <si>
    <t xml:space="preserve">Q3/2567</t>
  </si>
  <si>
    <t xml:space="preserve">Q4/2567</t>
  </si>
  <si>
    <t xml:space="preserve">Q1/2568</t>
  </si>
  <si>
    <t xml:space="preserve">Q2/2568</t>
  </si>
  <si>
    <t xml:space="preserve">Q3/2568</t>
  </si>
  <si>
    <t xml:space="preserve">Q4/2568</t>
  </si>
  <si>
    <t xml:space="preserve">รายได้รวม (ล้านบาท)</t>
  </si>
  <si>
    <t xml:space="preserve">ต้นทุนขาย (จริงจากงบกำไรขาดทุน, ล้านบาท)</t>
  </si>
  <si>
    <t xml:space="preserve">กำไรขั้นต้น (ล้านบาท)</t>
  </si>
  <si>
    <t xml:space="preserve">อัตรากำไรขั้นต้น (%)</t>
  </si>
  <si>
    <t xml:space="preserve">EBITDA (Core, ล้านบาท)</t>
  </si>
  <si>
    <t xml:space="preserve">EBITDA Margin (%)</t>
  </si>
  <si>
    <t xml:space="preserve">กำไรสุทธิ (Core, ล้านบาท)</t>
  </si>
  <si>
    <t xml:space="preserve">อัตรากำไรสุทธิ NPM (%)</t>
  </si>
  <si>
    <t xml:space="preserve">DSO (วัน)</t>
  </si>
  <si>
    <t xml:space="preserve">DIO (วัน)</t>
  </si>
  <si>
    <t xml:space="preserve">DPO (วัน)</t>
  </si>
  <si>
    <t xml:space="preserve">CCC (วัน)</t>
  </si>
  <si>
    <t xml:space="preserve">ROA รายไตรมาส (%)</t>
  </si>
  <si>
    <t xml:space="preserve">ROE รายไตรมาส (%)</t>
  </si>
  <si>
    <t xml:space="preserve">อ้างอิง: อัตราส่วนรายปี 2568 ที่ MINT เปิดเผยตรงใน MD&amp;A (เทียบกับค่าที่คำนวณเอง)</t>
  </si>
  <si>
    <t xml:space="preserve">DSO รายปี (วัน, MINT รายงาน)</t>
  </si>
  <si>
    <t xml:space="preserve">DIO รายปี (วัน, MINT รายงาน)</t>
  </si>
  <si>
    <t xml:space="preserve">DPO รายปี (วัน, MINT รายงาน)</t>
  </si>
  <si>
    <t xml:space="preserve">ROA รายปี (%, MINT รายงาน)</t>
  </si>
  <si>
    <t xml:space="preserve">ROE รายปี (%, MINT รายงาน)</t>
  </si>
  <si>
    <t xml:space="preserve">ไฟล์นี้คือ MINT_Quarterly แบบ 5 ปี x 4 ไตรมาส — ปี 2568 อัปเดตแล้วให้ใช้ 'ต้นทุนขายจริง' จากงบกำไรขาดทุน แทนค่าประมาณจาก GM% ที่ใช้ในเวอร์ชันก่อนหน้า</t>
  </si>
  <si>
    <t xml:space="preserve">แหล่งข้อมูลที่ใช้ (ปี 2568):</t>
  </si>
  <si>
    <t xml:space="preserve">1) MD&amp;A 4 ไตรมาส → EBITDA, กำไรสุทธิ (คำนวณด้วยสูตรลบสะสม) — คงเดิม ไม่เปลี่ยน</t>
  </si>
  <si>
    <t xml:space="preserve">2) งบกำไรขาดทุนจริง Q1(3m)/Q2(3m)/Q3(3m) + งบกำไรขาดทุน FY (SET-filed CSV) → รายได้และต้นทุนขายจริงทุกไตรมาส (Q4 คำนวณจาก FY ลบ Q1+Q2+Q3)</t>
  </si>
  <si>
    <t xml:space="preserve">3) งบฐานะการเงิน 5 จุดเวลา (31 ธ.ค.67, มี.ค./มิ.ย./ก.ย./ธ.ค. 68) → ลูกหนี้การค้า, สินค้าคงเหลือ, เจ้าหนี้การค้า, สินทรัพย์รวม, ส่วนของเจ้าของรวม</t>
  </si>
  <si>
    <t xml:space="preserve">การเปลี่ยนแปลงจากเวอร์ชันก่อนหน้า:</t>
  </si>
  <si>
    <t xml:space="preserve">- อัตรากำไรขั้นต้นที่คำนวณใหม่ (46-49%) สูงกว่าค่าประมาณเดิม (40-45%) เพราะนิยาม 'ต้นทุนขาย' ในไฟล์นี้ = เฉพาะต้นทุนตรงของโรงแรม + ต้นทุนอาหารและเครื่องดื่ม ไม่รวมค่าใช้จ่ายขายและบริหาร ขณะที่ 'อัตรากำไรขั้นต้น' ที่ MINT รายงานใน MD&amp;A อาจคำนวณจากฐานต้นทุนที่กว้างกว่านี้ - ตัวเลขทั้งสองจึงไม่ใช่นิยามเดียวกัน</t>
  </si>
  <si>
    <t xml:space="preserve">- DIO ที่คำนวณใหม่ (~17-18 วัน) ใกล้เคียงกับที่ MINT รายงานรายปี (20 วัน) มากขึ้นกว่าเดิม</t>
  </si>
  <si>
    <t xml:space="preserve">- DPO ที่คำนวณใหม่ (~97-105 วัน) ยังห่างจากที่ MINT รายงาน (67 วัน) — ทดสอบแล้วพบว่าถ้าใช้ฐานต้นทุนที่กว้างกว่า (รวมค่าใช้จ่ายขาย+บริหารด้วย) DPO รายปีจะได้ ~64 วัน ใกล้เคียงกับที่ MINT รายงานมาก ซึ่งบ่งชี้ว่า MINT อาจคำนวณ DPO จากฐาน 'ค่าใช้จ่ายรวม' ไม่ใช่ 'ต้นทุนขาย' อย่างเดียว แต่ไม่มีเอกสารยืนยันวิธีคำนวณภายในที่แท้จริงของบริษัท</t>
  </si>
  <si>
    <t xml:space="preserve">- DSO ที่คำนวณใหม่ (~32-37 วัน) ยังห่างจากที่ MINT รายงาน (24 วัน) พอสมควร สาเหตุที่เป็นไปได้: บรรทัด 'ลูกหนี้การค้าและลูกหนี้หมุนเวียนอื่น' รวมลูกหนี้ที่ไม่ใช่การค้าด้วย</t>
  </si>
  <si>
    <t xml:space="preserve">สรุป: DSO/DIO/DPO ในไฟล์นี้เป็นค่าที่คำนวณเองตามสูตรมาตรฐาน (Average Balance/Flow x Days) จากข้อมูลสาธารณะ แม่นยำขึ้นกว่าเวอร์ชันก่อนหน้าเพราะใช้ COGS จริงแล้ว แต่ยังไม่ได้ยืนยันตรงกับวิธีคำนวณภายในของ MINT 100% ควรใช้เพื่อดูแนวโน้มและเปรียบเทียบระหว่างไตรมาส/บริษัทที่คำนวณด้วยวิธีเดียวกันทั้งหมด</t>
  </si>
  <si>
    <t xml:space="preserve">ROA/ROE ยังคงแม่นยำ (ตรวจสอบแล้วว่าใกล้เคียงตัวเลขที่ MINT รายงานเองมาก) ไม่ได้รับผลกระทบจากการเปลี่ยนแปลงนี้</t>
  </si>
  <si>
    <t xml:space="preserve">ขั้นตอนถัดไป (รอการยืนยัน): ขอ MD&amp;A + งบกำไรขาดทุน + งบฐานะการเงิน ของ MINT ปี 2564-2567 แล้วจึงทำซ้ำแบบเดียวกันกับอีก 9 บริษัท</t>
  </si>
  <si>
    <t xml:space="preserve">รายการ (ล้านบาท)</t>
  </si>
  <si>
    <t xml:space="preserve">Q1/2568 (จริง)</t>
  </si>
  <si>
    <t xml:space="preserve">Q2/2568 (จริง)</t>
  </si>
  <si>
    <t xml:space="preserve">Q3/2568 (จริง)</t>
  </si>
  <si>
    <t xml:space="preserve">Q4/2568 (=FY-Q1-Q2-Q3)</t>
  </si>
  <si>
    <t xml:space="preserve">FY2568 (จริง)</t>
  </si>
  <si>
    <t xml:space="preserve">รวมรายได้ (ตามงบกำไรขาดทุน)</t>
  </si>
  <si>
    <t xml:space="preserve">งบกำไรขาดทุน MINT (SET-filed CSV) Q1(3m)/Q2(3m)/Q3(3m) และ FY2568 - บรรทัด "รวมรายได้"</t>
  </si>
  <si>
    <t xml:space="preserve">ต้นทุนขาย (ต้นทุนตรงโรงแรม+ต้นทุนอาหารฯ)</t>
  </si>
  <si>
    <t xml:space="preserve">งบกำไรขาดทุน MINT - "ต้นทุนโดยตรงของกิจการโรงแรมฯ" + "ต้นทุนขายอาหารและเครื่องดื่มฯ" (ไม่รวมบรรทัด "ธุรกิจโรงแรมและธุรกิจอื่น" ที่ปรากฏเฉพาะในงบ FY)</t>
  </si>
  <si>
    <t xml:space="preserve">หมายเหตุ: แทนที่ COGS ประมาณจาก GM% (ที่ใช้ในเวอร์ชันก่อนหน้า) ด้วยตัวเลขต้นทุนขายจริงจากงบกำไรขาดทุน — Q1/Q2/Q3 เป็นตัวเลขไตรมาสเดี่ยวจริง (ไม่ต้องลบสะสม) ส่วน Q4 คำนวณจาก FY ลบผลรวม Q1-Q3</t>
  </si>
  <si>
    <t xml:space="preserve">Methodology 1 — CFA / Damodaran Standard (สูตรมาตรฐานสำหรับงานวิจัย)</t>
  </si>
  <si>
    <t xml:space="preserve">หลักการ</t>
  </si>
  <si>
    <t xml:space="preserve">ใช้ "รายได้" เป็นตัวหารของ DSO (เพราะลูกหนี้แปรผันตามยอดขายที่ออกบิล) และใช้ "ต้นทุนขาย (COGS)" เป็นตัวหารของ DIO และ DPO (เพราะสินค้าคงเหลือและเจ้าหนี้แปรผันตามต้นทุน)</t>
  </si>
  <si>
    <t xml:space="preserve">อ้างอิง: CFA Institute curriculum; Damodaran (NYU Stern)</t>
  </si>
  <si>
    <t xml:space="preserve">การใช้ค่าเฉลี่ยงบดุล</t>
  </si>
  <si>
    <t xml:space="preserve">ทุกรายการในงบดุลใช้ค่าเฉลี่ย = (ยอดต้นงวด + ยอดปลายงวด) / 2</t>
  </si>
  <si>
    <t xml:space="preserve">มาตรฐานสากล</t>
  </si>
  <si>
    <t xml:space="preserve">จำนวนวัน</t>
  </si>
  <si>
    <t xml:space="preserve">รายไตรมาส: ใช้จำนวนวันจริงในไตรมาสนั้น (Q1=90, Q2=91, Q3=92, Q4=92) | รายปี: 365</t>
  </si>
  <si>
    <t xml:space="preserve">ตัวชี้วัด</t>
  </si>
  <si>
    <t xml:space="preserve">สูตร</t>
  </si>
  <si>
    <t xml:space="preserve">หมายเหตุ</t>
  </si>
  <si>
    <t xml:space="preserve">ค่าเฉลี่ยลูกหนี้การค้า / รายได้รวม × จำนวนวัน</t>
  </si>
  <si>
    <t xml:space="preserve">ควรใช้ "ลูกหนี้การค้า" ล้วน ถ้ามีข้อมูลจากหมายเหตุประกอบงบ</t>
  </si>
  <si>
    <t xml:space="preserve">ค่าเฉลี่ยสินค้าคงเหลือ / ต้นทุนขาย × จำนวนวัน</t>
  </si>
  <si>
    <t xml:space="preserve">ค่าเฉลี่ยเจ้าหนี้การค้า / ต้นทุนขาย × จำนวนวัน</t>
  </si>
  <si>
    <t xml:space="preserve">ควรใช้ "เจ้าหนี้การค้า" ล้วน ถ้ามีข้อมูลจากหมายเหตุประกอบงบ</t>
  </si>
  <si>
    <t xml:space="preserve">DIO + DSO − DPO</t>
  </si>
  <si>
    <t xml:space="preserve">ค่าติดลบ = ได้เงินจากลูกค้าก่อนจ่ายเจ้าหนี้ (ปกติสำหรับธุรกิจโรงแรม/ร้านอาหาร)</t>
  </si>
  <si>
    <t xml:space="preserve">ROA (%)</t>
  </si>
  <si>
    <t xml:space="preserve">กำไรสุทธิ / ค่าเฉลี่ยสินทรัพย์รวม</t>
  </si>
  <si>
    <t xml:space="preserve">รายไตรมาส = อัตราต่อไตรมาส (ไม่ annualize) | รายปี = เต็มปี</t>
  </si>
  <si>
    <t xml:space="preserve">ROE (%)</t>
  </si>
  <si>
    <t xml:space="preserve">กำไรสุทธิ / ค่าเฉลี่ยส่วนของผู้ถือหุ้น</t>
  </si>
  <si>
    <t xml:space="preserve">NPM (%)</t>
  </si>
  <si>
    <t xml:space="preserve">กำไรสุทธิ / รายได้รวม</t>
  </si>
  <si>
    <t xml:space="preserve">ข้อดีของวิธีนี้</t>
  </si>
  <si>
    <t xml:space="preserve">เป็นสูตรมาตรฐานที่อ้างอิงได้ในวิทยานิพนธ์ (referee ยอมรับ) และใช้เหมือนกันได้ทั้ง 10 บริษัท ทำให้เปรียบเทียบข้ามบริษัทได้อย่างยุติธรรม (apples-to-apples)</t>
  </si>
  <si>
    <t xml:space="preserve">ข้อจำกัด</t>
  </si>
  <si>
    <t xml:space="preserve">ตัวเลขที่ได้อาจต่างจากที่บริษัทเปิดเผยเอง เพราะแต่ละบริษัทอาจใช้นิยาม/ฐานการคำนวณต่างกัน — ดู Methodology 2 (Reverse-Engineering) ประกอบ</t>
  </si>
  <si>
    <t xml:space="preserve">Methodology 2 — Reverse-Engineering Framework (หา assumption ที่บริษัทใช้จริง)</t>
  </si>
  <si>
    <t xml:space="preserve">วัตถุประสงค์: เมื่อได้ข้อมูลครบทุกบริษัท ให้ทดสอบสูตรหลายๆ แบบ (variant) เทียบกับอัตราส่วนรายปีที่บริษัทเปิดเผยเองใน MD&amp;A แล้วหา variant ที่ให้ค่าใกล้เคียงที่สุด (error ต่ำสุด)</t>
  </si>
  <si>
    <t xml:space="preserve">เป้าหมายสุดท้าย: หา "assumption ร่วม" ที่ variant เดียวกัน match ได้ดีในหลายบริษัท → ใช้ variant นั้นเป็นสูตรกลางของงานวิจัย เพื่อให้ตัวเลขทั้งใกล้เคียงค่าที่บริษัทรายงาน และเปรียบเทียบข้ามบริษัทได้</t>
  </si>
  <si>
    <t xml:space="preserve">วิธีใช้: ตารางด้านล่างคือ prototype กับ MINT (ปี 2568) เมื่อได้บริษัทอื่นครบ จะเพิ่มคอลัมน์ผลลัพธ์ของแต่ละบริษัท แล้วดูว่าแถวไหน (variant ไหน) เป็น BEST MATCH ซ้ำกันบ่อยที่สุด</t>
  </si>
  <si>
    <t xml:space="preserve">ค่าที่ MINT เปิดเผยเอง (FY2568):</t>
  </si>
  <si>
    <t xml:space="preserve">DSO=24 | DIO=20 | DPO=67 วัน</t>
  </si>
  <si>
    <t xml:space="preserve">Variant (สูตรที่ทดสอบ)</t>
  </si>
  <si>
    <t xml:space="preserve">MINT (คำนวณ)</t>
  </si>
  <si>
    <t xml:space="preserve">เป้า (รายงาน)</t>
  </si>
  <si>
    <t xml:space="preserve">Error</t>
  </si>
  <si>
    <t xml:space="preserve">BEST?</t>
  </si>
  <si>
    <t xml:space="preserve">DSO</t>
  </si>
  <si>
    <t xml:space="preserve">AR_avg / รายได้รวม × วัน</t>
  </si>
  <si>
    <t xml:space="preserve">✓ ใกล้สุด</t>
  </si>
  <si>
    <t xml:space="preserve">AR_avg / รายได้ดำเนินงาน × วัน</t>
  </si>
  <si>
    <t xml:space="preserve">AR_ปลายงวด / รายได้รวม × วัน</t>
  </si>
  <si>
    <t xml:space="preserve">DIO</t>
  </si>
  <si>
    <t xml:space="preserve">INV_avg / ต้นทุนขาย(แคบ) × วัน</t>
  </si>
  <si>
    <t xml:space="preserve">INV_avg / ต้นทุนขาย(รวมโรงแรมอื่น) × วัน</t>
  </si>
  <si>
    <t xml:space="preserve">INV_avg / (ต้นทุนขาย+SG&amp;A) × วัน</t>
  </si>
  <si>
    <t xml:space="preserve">DPO</t>
  </si>
  <si>
    <t xml:space="preserve">AP_avg / ต้นทุนขาย(แคบ) × วัน</t>
  </si>
  <si>
    <t xml:space="preserve">AP_avg / (ต้นทุนขาย+SG&amp;A) × วัน</t>
  </si>
  <si>
    <t xml:space="preserve">AP_ปลายงวด / (ต้นทุนขาย+SG&amp;A) × วัน</t>
  </si>
  <si>
    <t xml:space="preserve">AP_avg / ค่าใช้จ่ายรวม(ไม่รวมดอกเบี้ย) × วัน</t>
  </si>
  <si>
    <t xml:space="preserve">ผลสำหรับ MINT (prototype):</t>
  </si>
  <si>
    <t xml:space="preserve">variant "AP_ปลายงวด / (ต้นทุนขาย+SG&amp;A)" ตรงเกือบเป๊ะ (67.4 vs 67) → MINT ใช้ฐานต้นทุน+ค่าใช้จ่ายขายบริหาร ไม่ใช่ต้นทุนขายอย่างเดียว</t>
  </si>
  <si>
    <t xml:space="preserve">ไม่มี variant ไหนตรง (ใกล้สุด 32.9 vs 24) → ค่าที่ตรงต้องใช้ลูกหนี้ = 73% ของบรรทัดรวม บ่งชี้ว่า MINT ใช้ "ลูกหนี้การค้าล้วน" จากหมายเหตุประกอบงบ (ยังไม่มีข้อมูล)</t>
  </si>
  <si>
    <t xml:space="preserve">ไม่มี variant ไหนตรงชัด (ใกล้สุด 16.6 vs 20) → ต้องรอทดสอบกับบริษัทอื่นว่ามี pattern ร่วมหรือไม่</t>
  </si>
  <si>
    <t xml:space="preserve">ขั้นตอนเมื่อได้ครบ 10 บริษัท:</t>
  </si>
  <si>
    <t xml:space="preserve">1</t>
  </si>
  <si>
    <t xml:space="preserve">รันตารางนี้กับทุกบริษัท เพิ่มคอลัมน์ผลลัพธ์รายบริษัท</t>
  </si>
  <si>
    <t xml:space="preserve">2</t>
  </si>
  <si>
    <t xml:space="preserve">นับว่า variant ไหนเป็น BEST MATCH ซ้ำกันบ่อยที่สุดข้ามบริษัท</t>
  </si>
  <si>
    <t xml:space="preserve">3</t>
  </si>
  <si>
    <t xml:space="preserve">ถ้า variant เดียวกัน match ดีในหลายบริษัท → ใช้เป็นสูตรกลาง (assumption ร่วม) ที่ทั้งใกล้ค่าจริงและเทียบข้ามบริษัทได้</t>
  </si>
  <si>
    <t xml:space="preserve">4</t>
  </si>
  <si>
    <t xml:space="preserve">ถ้าแต่ละบริษัทใช้คนละ variant → สรุปว่าไม่มี assumption ร่วม ควรกลับไปใช้ Methodology 1 (CFA มาตรฐาน) เป็นหลัก และรายงานส่วนต่างไว้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</si>
</sst>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"/>
    <numFmt numFmtId="168" formatCode="0.0&quot; วัน&quot;"/>
    <numFmt numFmtId="169" formatCode="0.0"/>
    <numFmt numFmtId="170" formatCode="\+0.0;\-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1" min="2" style="1" width="11"/>
    <col collapsed="false" customWidth="true" hidden="false" outlineLevel="0" max="22" min="22" style="1" width="55"/>
  </cols>
  <sheetData>
    <row r="1" customFormat="false" ht="26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</row>
    <row r="2" customFormat="false" ht="15" hidden="false" customHeight="true" outlineLevel="0" collapsed="false">
      <c r="A2" s="4" t="s">
        <v>22</v>
      </c>
      <c r="B2" s="5" t="s">
        <v>23</v>
      </c>
      <c r="C2" s="5" t="s">
        <v>23</v>
      </c>
      <c r="D2" s="5" t="s">
        <v>23</v>
      </c>
      <c r="E2" s="5" t="s">
        <v>23</v>
      </c>
      <c r="F2" s="5" t="s">
        <v>23</v>
      </c>
      <c r="G2" s="5" t="s">
        <v>23</v>
      </c>
      <c r="H2" s="5" t="s">
        <v>23</v>
      </c>
      <c r="I2" s="5" t="s">
        <v>23</v>
      </c>
      <c r="J2" s="5" t="s">
        <v>23</v>
      </c>
      <c r="K2" s="5" t="s">
        <v>23</v>
      </c>
      <c r="L2" s="5" t="s">
        <v>23</v>
      </c>
      <c r="M2" s="5" t="s">
        <v>23</v>
      </c>
      <c r="N2" s="5" t="s">
        <v>23</v>
      </c>
      <c r="O2" s="5" t="s">
        <v>23</v>
      </c>
      <c r="P2" s="5" t="s">
        <v>23</v>
      </c>
      <c r="Q2" s="5" t="s">
        <v>23</v>
      </c>
      <c r="R2" s="6" t="n">
        <v>37596</v>
      </c>
      <c r="S2" s="6" t="n">
        <v>81360</v>
      </c>
      <c r="T2" s="6" t="n">
        <v>122933</v>
      </c>
      <c r="U2" s="6" t="n">
        <v>167241</v>
      </c>
      <c r="V2" s="7" t="s">
        <v>24</v>
      </c>
    </row>
    <row r="3" customFormat="false" ht="15" hidden="false" customHeight="true" outlineLevel="0" collapsed="false">
      <c r="A3" s="4" t="s">
        <v>25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5" t="s">
        <v>23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23</v>
      </c>
      <c r="M3" s="5" t="s">
        <v>23</v>
      </c>
      <c r="N3" s="5" t="s">
        <v>23</v>
      </c>
      <c r="O3" s="5" t="s">
        <v>23</v>
      </c>
      <c r="P3" s="5" t="s">
        <v>23</v>
      </c>
      <c r="Q3" s="5" t="s">
        <v>23</v>
      </c>
      <c r="R3" s="8" t="n">
        <v>0.408</v>
      </c>
      <c r="S3" s="8" t="n">
        <v>0.43</v>
      </c>
      <c r="T3" s="8" t="n">
        <v>0.431</v>
      </c>
      <c r="U3" s="8" t="n">
        <v>0.436</v>
      </c>
      <c r="V3" s="7" t="s">
        <v>26</v>
      </c>
    </row>
    <row r="4" customFormat="false" ht="15" hidden="false" customHeight="true" outlineLevel="0" collapsed="false">
      <c r="A4" s="4" t="s">
        <v>27</v>
      </c>
      <c r="B4" s="5" t="s">
        <v>23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23</v>
      </c>
      <c r="Q4" s="5" t="s">
        <v>23</v>
      </c>
      <c r="R4" s="6" t="n">
        <v>8382</v>
      </c>
      <c r="S4" s="6" t="n">
        <v>20923</v>
      </c>
      <c r="T4" s="6" t="n">
        <v>32957</v>
      </c>
      <c r="U4" s="6" t="n">
        <v>44973</v>
      </c>
      <c r="V4" s="7" t="s">
        <v>28</v>
      </c>
    </row>
    <row r="5" customFormat="false" ht="15" hidden="false" customHeight="true" outlineLevel="0" collapsed="false">
      <c r="A5" s="4" t="s">
        <v>29</v>
      </c>
      <c r="B5" s="5" t="s">
        <v>23</v>
      </c>
      <c r="C5" s="5" t="s">
        <v>23</v>
      </c>
      <c r="D5" s="5" t="s">
        <v>23</v>
      </c>
      <c r="E5" s="5" t="s">
        <v>23</v>
      </c>
      <c r="F5" s="5" t="s">
        <v>23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6" t="n">
        <v>50</v>
      </c>
      <c r="S5" s="6" t="n">
        <v>3461</v>
      </c>
      <c r="T5" s="6" t="n">
        <v>6229</v>
      </c>
      <c r="U5" s="6" t="n">
        <v>9700</v>
      </c>
      <c r="V5" s="7" t="s">
        <v>28</v>
      </c>
    </row>
    <row r="7" customFormat="false" ht="12" hidden="false" customHeight="true" outlineLevel="0" collapsed="false">
      <c r="A7" s="9" t="s">
        <v>30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</sheetData>
  <mergeCells count="1">
    <mergeCell ref="A7:V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  <col collapsed="false" customWidth="true" hidden="false" outlineLevel="0" max="7" min="7" style="1" width="55"/>
  </cols>
  <sheetData>
    <row r="1" customFormat="false" ht="26.25" hidden="false" customHeight="tru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21</v>
      </c>
    </row>
    <row r="2" customFormat="false" ht="15" hidden="false" customHeight="true" outlineLevel="0" collapsed="false">
      <c r="A2" s="4" t="s">
        <v>37</v>
      </c>
      <c r="B2" s="10" t="n">
        <v>13970.341</v>
      </c>
      <c r="C2" s="10" t="n">
        <v>14945.937</v>
      </c>
      <c r="D2" s="10" t="n">
        <v>15751.811</v>
      </c>
      <c r="E2" s="10" t="n">
        <v>17466.545</v>
      </c>
      <c r="F2" s="10" t="n">
        <v>15911.602</v>
      </c>
      <c r="G2" s="7" t="s">
        <v>38</v>
      </c>
    </row>
    <row r="3" customFormat="false" ht="15" hidden="false" customHeight="true" outlineLevel="0" collapsed="false">
      <c r="A3" s="4" t="s">
        <v>39</v>
      </c>
      <c r="B3" s="10" t="n">
        <v>3917.636</v>
      </c>
      <c r="C3" s="10" t="n">
        <v>4088.494</v>
      </c>
      <c r="D3" s="10" t="n">
        <v>4157.115</v>
      </c>
      <c r="E3" s="10" t="n">
        <v>4137.789</v>
      </c>
      <c r="F3" s="10" t="n">
        <v>3921.48</v>
      </c>
      <c r="G3" s="7" t="s">
        <v>40</v>
      </c>
    </row>
    <row r="4" customFormat="false" ht="15" hidden="false" customHeight="true" outlineLevel="0" collapsed="false">
      <c r="A4" s="4" t="s">
        <v>41</v>
      </c>
      <c r="B4" s="10" t="n">
        <v>24414.611</v>
      </c>
      <c r="C4" s="10" t="n">
        <v>22052.993</v>
      </c>
      <c r="D4" s="10" t="n">
        <v>24610.107</v>
      </c>
      <c r="E4" s="10" t="n">
        <v>23955.136</v>
      </c>
      <c r="F4" s="10" t="n">
        <v>25606.359</v>
      </c>
      <c r="G4" s="7" t="s">
        <v>40</v>
      </c>
    </row>
    <row r="5" customFormat="false" ht="15" hidden="false" customHeight="true" outlineLevel="0" collapsed="false">
      <c r="A5" s="4" t="s">
        <v>42</v>
      </c>
      <c r="B5" s="10" t="n">
        <v>346844.932</v>
      </c>
      <c r="C5" s="10" t="n">
        <v>355544.01</v>
      </c>
      <c r="D5" s="10" t="n">
        <v>366301.08</v>
      </c>
      <c r="E5" s="10" t="n">
        <v>356649.372</v>
      </c>
      <c r="F5" s="10" t="n">
        <v>357329.667</v>
      </c>
      <c r="G5" s="7" t="s">
        <v>40</v>
      </c>
    </row>
    <row r="6" customFormat="false" ht="15" hidden="false" customHeight="true" outlineLevel="0" collapsed="false">
      <c r="A6" s="4" t="s">
        <v>43</v>
      </c>
      <c r="B6" s="10" t="n">
        <v>99136.831</v>
      </c>
      <c r="C6" s="10" t="n">
        <v>98317.427</v>
      </c>
      <c r="D6" s="10" t="n">
        <v>99185.386</v>
      </c>
      <c r="E6" s="10" t="n">
        <v>94833.336</v>
      </c>
      <c r="F6" s="10" t="n">
        <v>96985.657</v>
      </c>
      <c r="G6" s="7" t="s">
        <v>40</v>
      </c>
    </row>
    <row r="8" customFormat="false" ht="11.25" hidden="false" customHeight="true" outlineLevel="0" collapsed="false">
      <c r="A8" s="11" t="s">
        <v>44</v>
      </c>
      <c r="B8" s="11"/>
      <c r="C8" s="11"/>
      <c r="D8" s="11"/>
      <c r="E8" s="11"/>
      <c r="F8" s="11"/>
      <c r="G8" s="11"/>
    </row>
  </sheetData>
  <mergeCells count="1"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1" min="2" style="1" width="11"/>
  </cols>
  <sheetData>
    <row r="1" customFormat="false" ht="15" hidden="false" customHeight="true" outlineLevel="0" collapsed="false">
      <c r="A1" s="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64</v>
      </c>
      <c r="U1" s="12" t="s">
        <v>65</v>
      </c>
    </row>
    <row r="2" customFormat="false" ht="15" hidden="false" customHeight="true" outlineLevel="0" collapsed="false">
      <c r="A2" s="4" t="s">
        <v>66</v>
      </c>
      <c r="B2" s="13" t="s">
        <v>23</v>
      </c>
      <c r="C2" s="13" t="s">
        <v>23</v>
      </c>
      <c r="D2" s="13" t="s">
        <v>23</v>
      </c>
      <c r="E2" s="13" t="s">
        <v>23</v>
      </c>
      <c r="F2" s="13" t="s">
        <v>23</v>
      </c>
      <c r="G2" s="13" t="s">
        <v>23</v>
      </c>
      <c r="H2" s="13" t="s">
        <v>23</v>
      </c>
      <c r="I2" s="13" t="s">
        <v>23</v>
      </c>
      <c r="J2" s="13" t="s">
        <v>23</v>
      </c>
      <c r="K2" s="13" t="s">
        <v>23</v>
      </c>
      <c r="L2" s="13" t="s">
        <v>23</v>
      </c>
      <c r="M2" s="13" t="s">
        <v>23</v>
      </c>
      <c r="N2" s="13" t="s">
        <v>23</v>
      </c>
      <c r="O2" s="13" t="s">
        <v>23</v>
      </c>
      <c r="P2" s="13" t="s">
        <v>23</v>
      </c>
      <c r="Q2" s="13" t="s">
        <v>23</v>
      </c>
      <c r="R2" s="14" t="n">
        <f aca="false">IncomeStatement_Actual!B2</f>
        <v>37267.312</v>
      </c>
      <c r="S2" s="14" t="n">
        <f aca="false">IncomeStatement_Actual!C2</f>
        <v>43497.069</v>
      </c>
      <c r="T2" s="14" t="n">
        <f aca="false">IncomeStatement_Actual!D2</f>
        <v>41174.584</v>
      </c>
      <c r="U2" s="14" t="n">
        <f aca="false">IncomeStatement_Actual!E2</f>
        <v>43865.749</v>
      </c>
    </row>
    <row r="3" customFormat="false" ht="15" hidden="false" customHeight="true" outlineLevel="0" collapsed="false">
      <c r="A3" s="4" t="s">
        <v>67</v>
      </c>
      <c r="B3" s="13" t="s">
        <v>23</v>
      </c>
      <c r="C3" s="13" t="s">
        <v>23</v>
      </c>
      <c r="D3" s="13" t="s">
        <v>23</v>
      </c>
      <c r="E3" s="13" t="s">
        <v>23</v>
      </c>
      <c r="F3" s="13" t="s">
        <v>23</v>
      </c>
      <c r="G3" s="13" t="s">
        <v>23</v>
      </c>
      <c r="H3" s="13" t="s">
        <v>23</v>
      </c>
      <c r="I3" s="13" t="s">
        <v>23</v>
      </c>
      <c r="J3" s="13" t="s">
        <v>23</v>
      </c>
      <c r="K3" s="13" t="s">
        <v>23</v>
      </c>
      <c r="L3" s="13" t="s">
        <v>23</v>
      </c>
      <c r="M3" s="13" t="s">
        <v>23</v>
      </c>
      <c r="N3" s="13" t="s">
        <v>23</v>
      </c>
      <c r="O3" s="13" t="s">
        <v>23</v>
      </c>
      <c r="P3" s="13" t="s">
        <v>23</v>
      </c>
      <c r="Q3" s="13" t="s">
        <v>23</v>
      </c>
      <c r="R3" s="14" t="n">
        <f aca="false">IncomeStatement_Actual!B3</f>
        <v>20008.898</v>
      </c>
      <c r="S3" s="14" t="n">
        <f aca="false">IncomeStatement_Actual!C3</f>
        <v>22101.435</v>
      </c>
      <c r="T3" s="14" t="n">
        <f aca="false">IncomeStatement_Actual!D3</f>
        <v>21956.753</v>
      </c>
      <c r="U3" s="14" t="n">
        <f aca="false">IncomeStatement_Actual!E3</f>
        <v>22154.699</v>
      </c>
    </row>
    <row r="4" customFormat="false" ht="15" hidden="false" customHeight="true" outlineLevel="0" collapsed="false">
      <c r="A4" s="4" t="s">
        <v>68</v>
      </c>
      <c r="B4" s="13" t="s">
        <v>23</v>
      </c>
      <c r="C4" s="13" t="s">
        <v>23</v>
      </c>
      <c r="D4" s="13" t="s">
        <v>23</v>
      </c>
      <c r="E4" s="13" t="s">
        <v>23</v>
      </c>
      <c r="F4" s="13" t="s">
        <v>23</v>
      </c>
      <c r="G4" s="13" t="s">
        <v>23</v>
      </c>
      <c r="H4" s="13" t="s">
        <v>23</v>
      </c>
      <c r="I4" s="13" t="s">
        <v>23</v>
      </c>
      <c r="J4" s="13" t="s">
        <v>23</v>
      </c>
      <c r="K4" s="13" t="s">
        <v>23</v>
      </c>
      <c r="L4" s="13" t="s">
        <v>23</v>
      </c>
      <c r="M4" s="13" t="s">
        <v>23</v>
      </c>
      <c r="N4" s="13" t="s">
        <v>23</v>
      </c>
      <c r="O4" s="13" t="s">
        <v>23</v>
      </c>
      <c r="P4" s="13" t="s">
        <v>23</v>
      </c>
      <c r="Q4" s="13" t="s">
        <v>23</v>
      </c>
      <c r="R4" s="14" t="n">
        <f aca="false">R2-R3</f>
        <v>17258.414</v>
      </c>
      <c r="S4" s="14" t="n">
        <f aca="false">S2-S3</f>
        <v>21395.634</v>
      </c>
      <c r="T4" s="14" t="n">
        <f aca="false">T2-T3</f>
        <v>19217.831</v>
      </c>
      <c r="U4" s="14" t="n">
        <f aca="false">U2-U3</f>
        <v>21711.05</v>
      </c>
    </row>
    <row r="5" customFormat="false" ht="15" hidden="false" customHeight="true" outlineLevel="0" collapsed="false">
      <c r="A5" s="4" t="s">
        <v>69</v>
      </c>
      <c r="B5" s="13" t="s">
        <v>23</v>
      </c>
      <c r="C5" s="13" t="s">
        <v>23</v>
      </c>
      <c r="D5" s="13" t="s">
        <v>23</v>
      </c>
      <c r="E5" s="13" t="s">
        <v>23</v>
      </c>
      <c r="F5" s="13" t="s">
        <v>23</v>
      </c>
      <c r="G5" s="13" t="s">
        <v>23</v>
      </c>
      <c r="H5" s="13" t="s">
        <v>23</v>
      </c>
      <c r="I5" s="13" t="s">
        <v>23</v>
      </c>
      <c r="J5" s="13" t="s">
        <v>23</v>
      </c>
      <c r="K5" s="13" t="s">
        <v>23</v>
      </c>
      <c r="L5" s="13" t="s">
        <v>23</v>
      </c>
      <c r="M5" s="13" t="s">
        <v>23</v>
      </c>
      <c r="N5" s="13" t="s">
        <v>23</v>
      </c>
      <c r="O5" s="13" t="s">
        <v>23</v>
      </c>
      <c r="P5" s="13" t="s">
        <v>23</v>
      </c>
      <c r="Q5" s="13" t="s">
        <v>23</v>
      </c>
      <c r="R5" s="15" t="n">
        <f aca="false">IFERROR(R4/R2,"")</f>
        <v>0.463097901989819</v>
      </c>
      <c r="S5" s="15" t="n">
        <f aca="false">IFERROR(S4/S2,"")</f>
        <v>0.491886798165642</v>
      </c>
      <c r="T5" s="15" t="n">
        <f aca="false">IFERROR(T4/T2,"")</f>
        <v>0.466740137556702</v>
      </c>
      <c r="U5" s="15" t="n">
        <f aca="false">IFERROR(U4/U2,"")</f>
        <v>0.494943104698839</v>
      </c>
    </row>
    <row r="6" customFormat="false" ht="15" hidden="false" customHeight="true" outlineLevel="0" collapsed="false">
      <c r="A6" s="4" t="s">
        <v>70</v>
      </c>
      <c r="B6" s="13" t="s">
        <v>23</v>
      </c>
      <c r="C6" s="13" t="s">
        <v>23</v>
      </c>
      <c r="D6" s="13" t="s">
        <v>23</v>
      </c>
      <c r="E6" s="13" t="s">
        <v>23</v>
      </c>
      <c r="F6" s="13" t="s">
        <v>23</v>
      </c>
      <c r="G6" s="13" t="s">
        <v>23</v>
      </c>
      <c r="H6" s="13" t="s">
        <v>23</v>
      </c>
      <c r="I6" s="13" t="s">
        <v>23</v>
      </c>
      <c r="J6" s="13" t="s">
        <v>23</v>
      </c>
      <c r="K6" s="13" t="s">
        <v>23</v>
      </c>
      <c r="L6" s="13" t="s">
        <v>23</v>
      </c>
      <c r="M6" s="13" t="s">
        <v>23</v>
      </c>
      <c r="N6" s="13" t="s">
        <v>23</v>
      </c>
      <c r="O6" s="13" t="s">
        <v>23</v>
      </c>
      <c r="P6" s="13" t="s">
        <v>23</v>
      </c>
      <c r="Q6" s="13" t="s">
        <v>23</v>
      </c>
      <c r="R6" s="14" t="n">
        <f aca="false">MDA_Cumulative_Input!R4</f>
        <v>8382</v>
      </c>
      <c r="S6" s="14" t="n">
        <f aca="false">MDA_Cumulative_Input!S4-MDA_Cumulative_Input!R4</f>
        <v>12541</v>
      </c>
      <c r="T6" s="14" t="n">
        <f aca="false">MDA_Cumulative_Input!T4-MDA_Cumulative_Input!S4</f>
        <v>12034</v>
      </c>
      <c r="U6" s="14" t="n">
        <f aca="false">MDA_Cumulative_Input!U4-MDA_Cumulative_Input!T4</f>
        <v>12016</v>
      </c>
    </row>
    <row r="7" customFormat="false" ht="15" hidden="false" customHeight="true" outlineLevel="0" collapsed="false">
      <c r="A7" s="4" t="s">
        <v>71</v>
      </c>
      <c r="B7" s="13" t="s">
        <v>23</v>
      </c>
      <c r="C7" s="13" t="s">
        <v>23</v>
      </c>
      <c r="D7" s="13" t="s">
        <v>23</v>
      </c>
      <c r="E7" s="13" t="s">
        <v>23</v>
      </c>
      <c r="F7" s="13" t="s">
        <v>23</v>
      </c>
      <c r="G7" s="13" t="s">
        <v>23</v>
      </c>
      <c r="H7" s="13" t="s">
        <v>23</v>
      </c>
      <c r="I7" s="13" t="s">
        <v>23</v>
      </c>
      <c r="J7" s="13" t="s">
        <v>23</v>
      </c>
      <c r="K7" s="13" t="s">
        <v>23</v>
      </c>
      <c r="L7" s="13" t="s">
        <v>23</v>
      </c>
      <c r="M7" s="13" t="s">
        <v>23</v>
      </c>
      <c r="N7" s="13" t="s">
        <v>23</v>
      </c>
      <c r="O7" s="13" t="s">
        <v>23</v>
      </c>
      <c r="P7" s="13" t="s">
        <v>23</v>
      </c>
      <c r="Q7" s="13" t="s">
        <v>23</v>
      </c>
      <c r="R7" s="15" t="n">
        <f aca="false">IFERROR(R6/R2,"")</f>
        <v>0.224915604323703</v>
      </c>
      <c r="S7" s="15" t="n">
        <f aca="false">IFERROR(S6/S2,"")</f>
        <v>0.288318277261394</v>
      </c>
      <c r="T7" s="15" t="n">
        <f aca="false">IFERROR(T6/T2,"")</f>
        <v>0.292267676584176</v>
      </c>
      <c r="U7" s="15" t="n">
        <f aca="false">IFERROR(U6/U2,"")</f>
        <v>0.273926703041136</v>
      </c>
    </row>
    <row r="8" customFormat="false" ht="15" hidden="false" customHeight="true" outlineLevel="0" collapsed="false">
      <c r="A8" s="4" t="s">
        <v>72</v>
      </c>
      <c r="B8" s="13" t="s">
        <v>23</v>
      </c>
      <c r="C8" s="13" t="s">
        <v>23</v>
      </c>
      <c r="D8" s="13" t="s">
        <v>23</v>
      </c>
      <c r="E8" s="13" t="s">
        <v>23</v>
      </c>
      <c r="F8" s="13" t="s">
        <v>23</v>
      </c>
      <c r="G8" s="13" t="s">
        <v>23</v>
      </c>
      <c r="H8" s="13" t="s">
        <v>23</v>
      </c>
      <c r="I8" s="13" t="s">
        <v>23</v>
      </c>
      <c r="J8" s="13" t="s">
        <v>23</v>
      </c>
      <c r="K8" s="13" t="s">
        <v>23</v>
      </c>
      <c r="L8" s="13" t="s">
        <v>23</v>
      </c>
      <c r="M8" s="13" t="s">
        <v>23</v>
      </c>
      <c r="N8" s="13" t="s">
        <v>23</v>
      </c>
      <c r="O8" s="13" t="s">
        <v>23</v>
      </c>
      <c r="P8" s="13" t="s">
        <v>23</v>
      </c>
      <c r="Q8" s="13" t="s">
        <v>23</v>
      </c>
      <c r="R8" s="14" t="n">
        <f aca="false">MDA_Cumulative_Input!R5</f>
        <v>50</v>
      </c>
      <c r="S8" s="14" t="n">
        <f aca="false">MDA_Cumulative_Input!S5-MDA_Cumulative_Input!R5</f>
        <v>3411</v>
      </c>
      <c r="T8" s="14" t="n">
        <f aca="false">MDA_Cumulative_Input!T5-MDA_Cumulative_Input!S5</f>
        <v>2768</v>
      </c>
      <c r="U8" s="14" t="n">
        <f aca="false">MDA_Cumulative_Input!U5-MDA_Cumulative_Input!T5</f>
        <v>3471</v>
      </c>
    </row>
    <row r="9" customFormat="false" ht="15" hidden="false" customHeight="true" outlineLevel="0" collapsed="false">
      <c r="A9" s="4" t="s">
        <v>73</v>
      </c>
      <c r="B9" s="13" t="s">
        <v>23</v>
      </c>
      <c r="C9" s="13" t="s">
        <v>23</v>
      </c>
      <c r="D9" s="13" t="s">
        <v>23</v>
      </c>
      <c r="E9" s="13" t="s">
        <v>23</v>
      </c>
      <c r="F9" s="13" t="s">
        <v>23</v>
      </c>
      <c r="G9" s="13" t="s">
        <v>23</v>
      </c>
      <c r="H9" s="13" t="s">
        <v>23</v>
      </c>
      <c r="I9" s="13" t="s">
        <v>23</v>
      </c>
      <c r="J9" s="13" t="s">
        <v>23</v>
      </c>
      <c r="K9" s="13" t="s">
        <v>23</v>
      </c>
      <c r="L9" s="13" t="s">
        <v>23</v>
      </c>
      <c r="M9" s="13" t="s">
        <v>23</v>
      </c>
      <c r="N9" s="13" t="s">
        <v>23</v>
      </c>
      <c r="O9" s="13" t="s">
        <v>23</v>
      </c>
      <c r="P9" s="13" t="s">
        <v>23</v>
      </c>
      <c r="Q9" s="13" t="s">
        <v>23</v>
      </c>
      <c r="R9" s="15" t="n">
        <f aca="false">IFERROR(R8/R2,"")</f>
        <v>0.00134165834122944</v>
      </c>
      <c r="S9" s="15" t="n">
        <f aca="false">IFERROR(S8/S2,"")</f>
        <v>0.0784190769267695</v>
      </c>
      <c r="T9" s="15" t="n">
        <f aca="false">IFERROR(T8/T2,"")</f>
        <v>0.0672259372432275</v>
      </c>
      <c r="U9" s="15" t="n">
        <f aca="false">IFERROR(U8/U2,"")</f>
        <v>0.0791277951278115</v>
      </c>
    </row>
    <row r="10" customFormat="false" ht="15" hidden="false" customHeight="true" outlineLevel="0" collapsed="false">
      <c r="A10" s="4" t="s">
        <v>74</v>
      </c>
      <c r="B10" s="13" t="s">
        <v>23</v>
      </c>
      <c r="C10" s="13" t="s">
        <v>23</v>
      </c>
      <c r="D10" s="13" t="s">
        <v>23</v>
      </c>
      <c r="E10" s="13" t="s">
        <v>23</v>
      </c>
      <c r="F10" s="13" t="s">
        <v>23</v>
      </c>
      <c r="G10" s="13" t="s">
        <v>23</v>
      </c>
      <c r="H10" s="13" t="s">
        <v>23</v>
      </c>
      <c r="I10" s="13" t="s">
        <v>23</v>
      </c>
      <c r="J10" s="13" t="s">
        <v>23</v>
      </c>
      <c r="K10" s="13" t="s">
        <v>23</v>
      </c>
      <c r="L10" s="13" t="s">
        <v>23</v>
      </c>
      <c r="M10" s="13" t="s">
        <v>23</v>
      </c>
      <c r="N10" s="13" t="s">
        <v>23</v>
      </c>
      <c r="O10" s="13" t="s">
        <v>23</v>
      </c>
      <c r="P10" s="13" t="s">
        <v>23</v>
      </c>
      <c r="Q10" s="13" t="s">
        <v>23</v>
      </c>
      <c r="R10" s="16" t="n">
        <f aca="false">((BalanceSheet_Input!B2+BalanceSheet_Input!C2)/2)/R2*90</f>
        <v>34.9161890184084</v>
      </c>
      <c r="S10" s="16" t="n">
        <f aca="false">((BalanceSheet_Input!C2+BalanceSheet_Input!D2)/2)/S2*91</f>
        <v>32.1113023500503</v>
      </c>
      <c r="T10" s="16" t="n">
        <f aca="false">((BalanceSheet_Input!D2+BalanceSheet_Input!E2)/2)/T2*92</f>
        <v>37.1113494674287</v>
      </c>
      <c r="U10" s="16" t="n">
        <f aca="false">((BalanceSheet_Input!E2+BalanceSheet_Input!F2)/2)/U2*92</f>
        <v>35.0021325750074</v>
      </c>
    </row>
    <row r="11" customFormat="false" ht="15" hidden="false" customHeight="true" outlineLevel="0" collapsed="false">
      <c r="A11" s="4" t="s">
        <v>75</v>
      </c>
      <c r="B11" s="13" t="s">
        <v>23</v>
      </c>
      <c r="C11" s="13" t="s">
        <v>23</v>
      </c>
      <c r="D11" s="13" t="s">
        <v>23</v>
      </c>
      <c r="E11" s="13" t="s">
        <v>23</v>
      </c>
      <c r="F11" s="13" t="s">
        <v>23</v>
      </c>
      <c r="G11" s="13" t="s">
        <v>23</v>
      </c>
      <c r="H11" s="13" t="s">
        <v>23</v>
      </c>
      <c r="I11" s="13" t="s">
        <v>23</v>
      </c>
      <c r="J11" s="13" t="s">
        <v>23</v>
      </c>
      <c r="K11" s="13" t="s">
        <v>23</v>
      </c>
      <c r="L11" s="13" t="s">
        <v>23</v>
      </c>
      <c r="M11" s="13" t="s">
        <v>23</v>
      </c>
      <c r="N11" s="13" t="s">
        <v>23</v>
      </c>
      <c r="O11" s="13" t="s">
        <v>23</v>
      </c>
      <c r="P11" s="13" t="s">
        <v>23</v>
      </c>
      <c r="Q11" s="13" t="s">
        <v>23</v>
      </c>
      <c r="R11" s="16" t="n">
        <f aca="false">((BalanceSheet_Input!B3+BalanceSheet_Input!C3)/2)/R3*90</f>
        <v>18.0057817277093</v>
      </c>
      <c r="S11" s="16" t="n">
        <f aca="false">((BalanceSheet_Input!C3+BalanceSheet_Input!D3)/2)/S3*91</f>
        <v>16.9751515908356</v>
      </c>
      <c r="T11" s="16" t="n">
        <f aca="false">((BalanceSheet_Input!D3+BalanceSheet_Input!E3)/2)/T3*92</f>
        <v>17.3780514814736</v>
      </c>
      <c r="U11" s="16" t="n">
        <f aca="false">((BalanceSheet_Input!E3+BalanceSheet_Input!F3)/2)/U3*92</f>
        <v>16.733532421271</v>
      </c>
    </row>
    <row r="12" customFormat="false" ht="15" hidden="false" customHeight="true" outlineLevel="0" collapsed="false">
      <c r="A12" s="4" t="s">
        <v>76</v>
      </c>
      <c r="B12" s="13" t="s">
        <v>23</v>
      </c>
      <c r="C12" s="13" t="s">
        <v>23</v>
      </c>
      <c r="D12" s="13" t="s">
        <v>23</v>
      </c>
      <c r="E12" s="13" t="s">
        <v>23</v>
      </c>
      <c r="F12" s="13" t="s">
        <v>23</v>
      </c>
      <c r="G12" s="13" t="s">
        <v>23</v>
      </c>
      <c r="H12" s="13" t="s">
        <v>23</v>
      </c>
      <c r="I12" s="13" t="s">
        <v>23</v>
      </c>
      <c r="J12" s="13" t="s">
        <v>23</v>
      </c>
      <c r="K12" s="13" t="s">
        <v>23</v>
      </c>
      <c r="L12" s="13" t="s">
        <v>23</v>
      </c>
      <c r="M12" s="13" t="s">
        <v>23</v>
      </c>
      <c r="N12" s="13" t="s">
        <v>23</v>
      </c>
      <c r="O12" s="13" t="s">
        <v>23</v>
      </c>
      <c r="P12" s="13" t="s">
        <v>23</v>
      </c>
      <c r="Q12" s="13" t="s">
        <v>23</v>
      </c>
      <c r="R12" s="16" t="n">
        <f aca="false">((BalanceSheet_Input!B4+BalanceSheet_Input!C4)/2)/R3*90</f>
        <v>104.50561445213</v>
      </c>
      <c r="S12" s="16" t="n">
        <f aca="false">((BalanceSheet_Input!C4+BalanceSheet_Input!D4)/2)/S3*91</f>
        <v>96.0648505402477</v>
      </c>
      <c r="T12" s="16" t="n">
        <f aca="false">((BalanceSheet_Input!D4+BalanceSheet_Input!E4)/2)/T3*92</f>
        <v>101.745516652667</v>
      </c>
      <c r="U12" s="16" t="n">
        <f aca="false">((BalanceSheet_Input!E4+BalanceSheet_Input!F4)/2)/U3*92</f>
        <v>102.904976050453</v>
      </c>
    </row>
    <row r="13" customFormat="false" ht="15" hidden="false" customHeight="true" outlineLevel="0" collapsed="false">
      <c r="A13" s="4" t="s">
        <v>77</v>
      </c>
      <c r="B13" s="13" t="s">
        <v>23</v>
      </c>
      <c r="C13" s="13" t="s">
        <v>23</v>
      </c>
      <c r="D13" s="13" t="s">
        <v>23</v>
      </c>
      <c r="E13" s="13" t="s">
        <v>23</v>
      </c>
      <c r="F13" s="13" t="s">
        <v>23</v>
      </c>
      <c r="G13" s="13" t="s">
        <v>23</v>
      </c>
      <c r="H13" s="13" t="s">
        <v>23</v>
      </c>
      <c r="I13" s="13" t="s">
        <v>23</v>
      </c>
      <c r="J13" s="13" t="s">
        <v>23</v>
      </c>
      <c r="K13" s="13" t="s">
        <v>23</v>
      </c>
      <c r="L13" s="13" t="s">
        <v>23</v>
      </c>
      <c r="M13" s="13" t="s">
        <v>23</v>
      </c>
      <c r="N13" s="13" t="s">
        <v>23</v>
      </c>
      <c r="O13" s="13" t="s">
        <v>23</v>
      </c>
      <c r="P13" s="13" t="s">
        <v>23</v>
      </c>
      <c r="Q13" s="13" t="s">
        <v>23</v>
      </c>
      <c r="R13" s="16" t="n">
        <f aca="false">R11+R10-R12</f>
        <v>-51.5836437060125</v>
      </c>
      <c r="S13" s="16" t="n">
        <f aca="false">S11+S10-S12</f>
        <v>-46.9783965993618</v>
      </c>
      <c r="T13" s="16" t="n">
        <f aca="false">T11+T10-T12</f>
        <v>-47.2561157037648</v>
      </c>
      <c r="U13" s="16" t="n">
        <f aca="false">U11+U10-U12</f>
        <v>-51.1693110541748</v>
      </c>
    </row>
    <row r="14" customFormat="false" ht="15" hidden="false" customHeight="true" outlineLevel="0" collapsed="false">
      <c r="A14" s="4" t="s">
        <v>78</v>
      </c>
      <c r="B14" s="13" t="s">
        <v>23</v>
      </c>
      <c r="C14" s="13" t="s">
        <v>23</v>
      </c>
      <c r="D14" s="13" t="s">
        <v>23</v>
      </c>
      <c r="E14" s="13" t="s">
        <v>23</v>
      </c>
      <c r="F14" s="13" t="s">
        <v>23</v>
      </c>
      <c r="G14" s="13" t="s">
        <v>23</v>
      </c>
      <c r="H14" s="13" t="s">
        <v>23</v>
      </c>
      <c r="I14" s="13" t="s">
        <v>23</v>
      </c>
      <c r="J14" s="13" t="s">
        <v>23</v>
      </c>
      <c r="K14" s="13" t="s">
        <v>23</v>
      </c>
      <c r="L14" s="13" t="s">
        <v>23</v>
      </c>
      <c r="M14" s="13" t="s">
        <v>23</v>
      </c>
      <c r="N14" s="13" t="s">
        <v>23</v>
      </c>
      <c r="O14" s="13" t="s">
        <v>23</v>
      </c>
      <c r="P14" s="13" t="s">
        <v>23</v>
      </c>
      <c r="Q14" s="13" t="s">
        <v>23</v>
      </c>
      <c r="R14" s="15" t="n">
        <f aca="false">R8/((BalanceSheet_Input!B5+BalanceSheet_Input!C5)/2)</f>
        <v>0.000142371261875589</v>
      </c>
      <c r="S14" s="15" t="n">
        <f aca="false">S8/((BalanceSheet_Input!C5+BalanceSheet_Input!D5)/2)</f>
        <v>0.00945078119184824</v>
      </c>
      <c r="T14" s="15" t="n">
        <f aca="false">T8/((BalanceSheet_Input!D5+BalanceSheet_Input!E5)/2)</f>
        <v>0.00765750956332482</v>
      </c>
      <c r="U14" s="15" t="n">
        <f aca="false">U8/((BalanceSheet_Input!E5+BalanceSheet_Input!F5)/2)</f>
        <v>0.00972297451438207</v>
      </c>
    </row>
    <row r="15" customFormat="false" ht="15" hidden="false" customHeight="true" outlineLevel="0" collapsed="false">
      <c r="A15" s="4" t="s">
        <v>79</v>
      </c>
      <c r="B15" s="13" t="s">
        <v>23</v>
      </c>
      <c r="C15" s="13" t="s">
        <v>23</v>
      </c>
      <c r="D15" s="13" t="s">
        <v>23</v>
      </c>
      <c r="E15" s="13" t="s">
        <v>23</v>
      </c>
      <c r="F15" s="13" t="s">
        <v>23</v>
      </c>
      <c r="G15" s="13" t="s">
        <v>23</v>
      </c>
      <c r="H15" s="13" t="s">
        <v>23</v>
      </c>
      <c r="I15" s="13" t="s">
        <v>23</v>
      </c>
      <c r="J15" s="13" t="s">
        <v>23</v>
      </c>
      <c r="K15" s="13" t="s">
        <v>23</v>
      </c>
      <c r="L15" s="13" t="s">
        <v>23</v>
      </c>
      <c r="M15" s="13" t="s">
        <v>23</v>
      </c>
      <c r="N15" s="13" t="s">
        <v>23</v>
      </c>
      <c r="O15" s="13" t="s">
        <v>23</v>
      </c>
      <c r="P15" s="13" t="s">
        <v>23</v>
      </c>
      <c r="Q15" s="13" t="s">
        <v>23</v>
      </c>
      <c r="R15" s="15" t="n">
        <f aca="false">R8/((BalanceSheet_Input!B6+BalanceSheet_Input!C6)/2)</f>
        <v>0.000506446409476771</v>
      </c>
      <c r="S15" s="15" t="n">
        <f aca="false">S8/((BalanceSheet_Input!C6+BalanceSheet_Input!D6)/2)</f>
        <v>0.0345412801791335</v>
      </c>
      <c r="T15" s="15" t="n">
        <f aca="false">T8/((BalanceSheet_Input!D6+BalanceSheet_Input!E6)/2)</f>
        <v>0.0285333288609127</v>
      </c>
      <c r="U15" s="15" t="n">
        <f aca="false">U8/((BalanceSheet_Input!E6+BalanceSheet_Input!F6)/2)</f>
        <v>0.0361903682812056</v>
      </c>
    </row>
    <row r="17" customFormat="false" ht="15" hidden="false" customHeight="true" outlineLevel="0" collapsed="false">
      <c r="A17" s="17" t="s">
        <v>80</v>
      </c>
    </row>
    <row r="18" customFormat="false" ht="15" hidden="false" customHeight="true" outlineLevel="0" collapsed="false">
      <c r="A18" s="7" t="s">
        <v>81</v>
      </c>
      <c r="U18" s="7" t="n">
        <v>24</v>
      </c>
    </row>
    <row r="19" customFormat="false" ht="15" hidden="false" customHeight="true" outlineLevel="0" collapsed="false">
      <c r="A19" s="7" t="s">
        <v>82</v>
      </c>
      <c r="U19" s="7" t="n">
        <v>20</v>
      </c>
    </row>
    <row r="20" customFormat="false" ht="15" hidden="false" customHeight="true" outlineLevel="0" collapsed="false">
      <c r="A20" s="7" t="s">
        <v>83</v>
      </c>
      <c r="U20" s="7" t="n">
        <v>67</v>
      </c>
    </row>
    <row r="21" customFormat="false" ht="15" hidden="false" customHeight="true" outlineLevel="0" collapsed="false">
      <c r="A21" s="7" t="s">
        <v>84</v>
      </c>
      <c r="U21" s="18" t="n">
        <v>0.028</v>
      </c>
    </row>
    <row r="22" customFormat="false" ht="15" hidden="false" customHeight="true" outlineLevel="0" collapsed="false">
      <c r="A22" s="7" t="s">
        <v>85</v>
      </c>
      <c r="U22" s="18" t="n">
        <v>0.099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8"/>
  </cols>
  <sheetData>
    <row r="1" customFormat="false" ht="26.25" hidden="false" customHeight="true" outlineLevel="0" collapsed="false">
      <c r="A1" s="19" t="s">
        <v>86</v>
      </c>
    </row>
    <row r="2" customFormat="false" ht="15" hidden="false" customHeight="true" outlineLevel="0" collapsed="false">
      <c r="A2" s="20"/>
    </row>
    <row r="3" customFormat="false" ht="15" hidden="false" customHeight="true" outlineLevel="0" collapsed="false">
      <c r="A3" s="19" t="s">
        <v>87</v>
      </c>
    </row>
    <row r="4" customFormat="false" ht="15" hidden="false" customHeight="true" outlineLevel="0" collapsed="false">
      <c r="A4" s="20" t="s">
        <v>88</v>
      </c>
    </row>
    <row r="5" customFormat="false" ht="26.25" hidden="false" customHeight="true" outlineLevel="0" collapsed="false">
      <c r="A5" s="20" t="s">
        <v>89</v>
      </c>
    </row>
    <row r="6" customFormat="false" ht="15" hidden="false" customHeight="true" outlineLevel="0" collapsed="false">
      <c r="A6" s="20" t="s">
        <v>90</v>
      </c>
    </row>
    <row r="7" customFormat="false" ht="15" hidden="false" customHeight="true" outlineLevel="0" collapsed="false">
      <c r="A7" s="20"/>
    </row>
    <row r="8" customFormat="false" ht="15" hidden="false" customHeight="true" outlineLevel="0" collapsed="false">
      <c r="A8" s="19" t="s">
        <v>91</v>
      </c>
    </row>
    <row r="9" customFormat="false" ht="15" hidden="false" customHeight="true" outlineLevel="0" collapsed="false">
      <c r="A9" s="20" t="s">
        <v>92</v>
      </c>
    </row>
    <row r="10" customFormat="false" ht="15" hidden="false" customHeight="true" outlineLevel="0" collapsed="false">
      <c r="A10" s="20" t="s">
        <v>93</v>
      </c>
    </row>
    <row r="11" customFormat="false" ht="15" hidden="false" customHeight="true" outlineLevel="0" collapsed="false">
      <c r="A11" s="20" t="s">
        <v>94</v>
      </c>
    </row>
    <row r="12" customFormat="false" ht="26.25" hidden="false" customHeight="true" outlineLevel="0" collapsed="false">
      <c r="A12" s="20" t="s">
        <v>95</v>
      </c>
    </row>
    <row r="13" customFormat="false" ht="15" hidden="false" customHeight="true" outlineLevel="0" collapsed="false">
      <c r="A13" s="20"/>
    </row>
    <row r="14" customFormat="false" ht="15" hidden="false" customHeight="true" outlineLevel="0" collapsed="false">
      <c r="A14" s="19" t="s">
        <v>96</v>
      </c>
    </row>
    <row r="15" customFormat="false" ht="15" hidden="false" customHeight="true" outlineLevel="0" collapsed="false">
      <c r="A15" s="20"/>
    </row>
    <row r="16" customFormat="false" ht="26.25" hidden="false" customHeight="true" outlineLevel="0" collapsed="false">
      <c r="A16" s="20" t="s">
        <v>97</v>
      </c>
    </row>
    <row r="17" customFormat="false" ht="15" hidden="false" customHeight="true" outlineLevel="0" collapsed="false">
      <c r="A17" s="20"/>
    </row>
    <row r="18" customFormat="false" ht="15" hidden="false" customHeight="true" outlineLevel="0" collapsed="false">
      <c r="A18" s="20" t="s">
        <v>98</v>
      </c>
    </row>
    <row r="19" customFormat="false" ht="39" hidden="false" customHeight="true" outlineLevel="0" collapsed="false"/>
    <row r="20" customFormat="false" ht="39" hidden="false" customHeight="true" outlineLevel="0" collapsed="false"/>
    <row r="21" customFormat="false" ht="26.2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26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6"/>
    <col collapsed="false" customWidth="true" hidden="false" outlineLevel="0" max="7" min="7" style="1" width="65"/>
  </cols>
  <sheetData>
    <row r="1" customFormat="false" ht="26.25" hidden="false" customHeight="true" outlineLevel="0" collapsed="false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  <c r="G1" s="3" t="s">
        <v>21</v>
      </c>
    </row>
    <row r="2" customFormat="false" ht="15" hidden="false" customHeight="true" outlineLevel="0" collapsed="false">
      <c r="A2" s="4" t="s">
        <v>105</v>
      </c>
      <c r="B2" s="10" t="n">
        <v>37267.312</v>
      </c>
      <c r="C2" s="10" t="n">
        <v>43497.069</v>
      </c>
      <c r="D2" s="10" t="n">
        <v>41174.584</v>
      </c>
      <c r="E2" s="21" t="n">
        <f aca="false">F2-B2-C2-D2</f>
        <v>43865.749</v>
      </c>
      <c r="F2" s="10" t="n">
        <v>165804.714</v>
      </c>
      <c r="G2" s="7" t="s">
        <v>106</v>
      </c>
    </row>
    <row r="3" customFormat="false" ht="15" hidden="false" customHeight="true" outlineLevel="0" collapsed="false">
      <c r="A3" s="4" t="s">
        <v>107</v>
      </c>
      <c r="B3" s="10" t="n">
        <v>20008.898</v>
      </c>
      <c r="C3" s="10" t="n">
        <v>22101.435</v>
      </c>
      <c r="D3" s="10" t="n">
        <v>21956.753</v>
      </c>
      <c r="E3" s="21" t="n">
        <f aca="false">F3-B3-C3-D3</f>
        <v>22154.699</v>
      </c>
      <c r="F3" s="10" t="n">
        <v>86221.785</v>
      </c>
      <c r="G3" s="7" t="s">
        <v>108</v>
      </c>
    </row>
    <row r="5" customFormat="false" ht="11.25" hidden="false" customHeight="true" outlineLevel="0" collapsed="false">
      <c r="A5" s="11" t="s">
        <v>109</v>
      </c>
      <c r="B5" s="11"/>
      <c r="C5" s="11"/>
      <c r="D5" s="11"/>
      <c r="E5" s="11"/>
      <c r="F5" s="11"/>
      <c r="G5" s="11"/>
    </row>
  </sheetData>
  <mergeCells count="1">
    <mergeCell ref="A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40"/>
  </cols>
  <sheetData>
    <row r="1" customFormat="false" ht="14.15" hidden="false" customHeight="false" outlineLevel="0" collapsed="false">
      <c r="A1" s="22" t="s">
        <v>110</v>
      </c>
      <c r="B1" s="22"/>
      <c r="C1" s="22"/>
    </row>
    <row r="2" customFormat="false" ht="15" hidden="false" customHeight="false" outlineLevel="0" collapsed="false">
      <c r="A2" s="19"/>
      <c r="B2" s="23"/>
      <c r="C2" s="24"/>
    </row>
    <row r="3" customFormat="false" ht="39.55" hidden="false" customHeight="false" outlineLevel="0" collapsed="false">
      <c r="A3" s="19" t="s">
        <v>111</v>
      </c>
      <c r="B3" s="23" t="s">
        <v>112</v>
      </c>
      <c r="C3" s="24" t="s">
        <v>113</v>
      </c>
    </row>
    <row r="4" customFormat="false" ht="15" hidden="false" customHeight="false" outlineLevel="0" collapsed="false">
      <c r="A4" s="19" t="s">
        <v>114</v>
      </c>
      <c r="B4" s="23" t="s">
        <v>115</v>
      </c>
      <c r="C4" s="24" t="s">
        <v>116</v>
      </c>
    </row>
    <row r="5" customFormat="false" ht="26.85" hidden="false" customHeight="false" outlineLevel="0" collapsed="false">
      <c r="A5" s="19" t="s">
        <v>117</v>
      </c>
      <c r="B5" s="23" t="s">
        <v>118</v>
      </c>
      <c r="C5" s="24"/>
    </row>
    <row r="6" customFormat="false" ht="15" hidden="false" customHeight="false" outlineLevel="0" collapsed="false">
      <c r="A6" s="19"/>
      <c r="B6" s="23"/>
      <c r="C6" s="24"/>
    </row>
    <row r="7" customFormat="false" ht="15" hidden="false" customHeight="false" outlineLevel="0" collapsed="false">
      <c r="A7" s="25" t="s">
        <v>119</v>
      </c>
      <c r="B7" s="26" t="s">
        <v>120</v>
      </c>
      <c r="C7" s="27" t="s">
        <v>121</v>
      </c>
    </row>
    <row r="8" customFormat="false" ht="15" hidden="false" customHeight="false" outlineLevel="0" collapsed="false">
      <c r="A8" s="19" t="s">
        <v>74</v>
      </c>
      <c r="B8" s="23" t="s">
        <v>122</v>
      </c>
      <c r="C8" s="24" t="s">
        <v>123</v>
      </c>
    </row>
    <row r="9" customFormat="false" ht="15" hidden="false" customHeight="false" outlineLevel="0" collapsed="false">
      <c r="A9" s="19" t="s">
        <v>75</v>
      </c>
      <c r="B9" s="23" t="s">
        <v>124</v>
      </c>
      <c r="C9" s="24"/>
    </row>
    <row r="10" customFormat="false" ht="15" hidden="false" customHeight="false" outlineLevel="0" collapsed="false">
      <c r="A10" s="19" t="s">
        <v>76</v>
      </c>
      <c r="B10" s="23" t="s">
        <v>125</v>
      </c>
      <c r="C10" s="24" t="s">
        <v>126</v>
      </c>
    </row>
    <row r="11" customFormat="false" ht="22.35" hidden="false" customHeight="false" outlineLevel="0" collapsed="false">
      <c r="A11" s="19" t="s">
        <v>77</v>
      </c>
      <c r="B11" s="23" t="s">
        <v>127</v>
      </c>
      <c r="C11" s="24" t="s">
        <v>128</v>
      </c>
    </row>
    <row r="12" customFormat="false" ht="15" hidden="false" customHeight="false" outlineLevel="0" collapsed="false">
      <c r="A12" s="19" t="s">
        <v>129</v>
      </c>
      <c r="B12" s="23" t="s">
        <v>130</v>
      </c>
      <c r="C12" s="24" t="s">
        <v>131</v>
      </c>
    </row>
    <row r="13" customFormat="false" ht="15" hidden="false" customHeight="false" outlineLevel="0" collapsed="false">
      <c r="A13" s="19" t="s">
        <v>132</v>
      </c>
      <c r="B13" s="23" t="s">
        <v>133</v>
      </c>
      <c r="C13" s="24"/>
    </row>
    <row r="14" customFormat="false" ht="15" hidden="false" customHeight="false" outlineLevel="0" collapsed="false">
      <c r="A14" s="19" t="s">
        <v>134</v>
      </c>
      <c r="B14" s="23" t="s">
        <v>135</v>
      </c>
      <c r="C14" s="24"/>
    </row>
    <row r="15" customFormat="false" ht="15" hidden="false" customHeight="false" outlineLevel="0" collapsed="false">
      <c r="A15" s="19"/>
      <c r="B15" s="23"/>
      <c r="C15" s="24"/>
    </row>
    <row r="16" customFormat="false" ht="26.85" hidden="false" customHeight="false" outlineLevel="0" collapsed="false">
      <c r="A16" s="19" t="s">
        <v>136</v>
      </c>
      <c r="B16" s="23" t="s">
        <v>137</v>
      </c>
      <c r="C16" s="24"/>
    </row>
    <row r="17" customFormat="false" ht="26.85" hidden="false" customHeight="false" outlineLevel="0" collapsed="false">
      <c r="A17" s="19" t="s">
        <v>138</v>
      </c>
      <c r="B17" s="23" t="s">
        <v>139</v>
      </c>
      <c r="C17" s="2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6" min="3" style="0" width="10"/>
    <col collapsed="false" customWidth="true" hidden="false" outlineLevel="0" max="7" min="7" style="0" width="12"/>
  </cols>
  <sheetData>
    <row r="1" customFormat="false" ht="14.15" hidden="false" customHeight="false" outlineLevel="0" collapsed="false">
      <c r="A1" s="22" t="s">
        <v>140</v>
      </c>
      <c r="B1" s="22"/>
      <c r="C1" s="22"/>
      <c r="D1" s="22"/>
      <c r="E1" s="22"/>
      <c r="F1" s="22"/>
      <c r="G1" s="22"/>
    </row>
    <row r="2" customFormat="false" ht="30" hidden="false" customHeight="true" outlineLevel="0" collapsed="false">
      <c r="A2" s="28" t="s">
        <v>141</v>
      </c>
      <c r="B2" s="28"/>
      <c r="C2" s="28"/>
      <c r="D2" s="28"/>
      <c r="E2" s="28"/>
      <c r="F2" s="28"/>
      <c r="G2" s="28"/>
    </row>
    <row r="3" customFormat="false" ht="30" hidden="false" customHeight="true" outlineLevel="0" collapsed="false">
      <c r="A3" s="28" t="s">
        <v>142</v>
      </c>
      <c r="B3" s="28"/>
      <c r="C3" s="28"/>
      <c r="D3" s="28"/>
      <c r="E3" s="28"/>
      <c r="F3" s="28"/>
      <c r="G3" s="28"/>
    </row>
    <row r="4" customFormat="false" ht="30" hidden="false" customHeight="true" outlineLevel="0" collapsed="false">
      <c r="A4" s="28" t="s">
        <v>143</v>
      </c>
      <c r="B4" s="28"/>
      <c r="C4" s="28"/>
      <c r="D4" s="28"/>
      <c r="E4" s="28"/>
      <c r="F4" s="28"/>
      <c r="G4" s="28"/>
    </row>
    <row r="6" customFormat="false" ht="15" hidden="false" customHeight="false" outlineLevel="0" collapsed="false">
      <c r="A6" s="29" t="s">
        <v>144</v>
      </c>
      <c r="B6" s="30" t="s">
        <v>145</v>
      </c>
    </row>
    <row r="8" customFormat="false" ht="15" hidden="false" customHeight="false" outlineLevel="0" collapsed="false">
      <c r="A8" s="31" t="s">
        <v>119</v>
      </c>
      <c r="B8" s="31" t="s">
        <v>146</v>
      </c>
      <c r="C8" s="31" t="s">
        <v>147</v>
      </c>
      <c r="D8" s="31" t="s">
        <v>148</v>
      </c>
      <c r="E8" s="31" t="s">
        <v>149</v>
      </c>
      <c r="F8" s="31" t="s">
        <v>150</v>
      </c>
    </row>
    <row r="9" customFormat="false" ht="15" hidden="false" customHeight="false" outlineLevel="0" collapsed="false">
      <c r="A9" s="32" t="s">
        <v>151</v>
      </c>
      <c r="B9" s="33" t="s">
        <v>152</v>
      </c>
      <c r="C9" s="34" t="n">
        <v>32.9</v>
      </c>
      <c r="D9" s="35" t="n">
        <v>24</v>
      </c>
      <c r="E9" s="36" t="n">
        <v>8.9</v>
      </c>
      <c r="F9" s="37" t="s">
        <v>153</v>
      </c>
    </row>
    <row r="10" customFormat="false" ht="26.85" hidden="false" customHeight="false" outlineLevel="0" collapsed="false">
      <c r="A10" s="38" t="s">
        <v>151</v>
      </c>
      <c r="B10" s="39" t="s">
        <v>154</v>
      </c>
      <c r="C10" s="40" t="n">
        <v>34</v>
      </c>
      <c r="D10" s="41" t="n">
        <v>24</v>
      </c>
      <c r="E10" s="42" t="n">
        <v>10</v>
      </c>
      <c r="F10" s="41"/>
    </row>
    <row r="11" customFormat="false" ht="15" hidden="false" customHeight="false" outlineLevel="0" collapsed="false">
      <c r="A11" s="38" t="s">
        <v>151</v>
      </c>
      <c r="B11" s="39" t="s">
        <v>155</v>
      </c>
      <c r="C11" s="40" t="n">
        <v>35</v>
      </c>
      <c r="D11" s="41" t="n">
        <v>24</v>
      </c>
      <c r="E11" s="42" t="n">
        <v>11</v>
      </c>
      <c r="F11" s="41"/>
    </row>
    <row r="12" customFormat="false" ht="26.85" hidden="false" customHeight="false" outlineLevel="0" collapsed="false">
      <c r="A12" s="32" t="s">
        <v>156</v>
      </c>
      <c r="B12" s="33" t="s">
        <v>157</v>
      </c>
      <c r="C12" s="34" t="n">
        <v>16.6</v>
      </c>
      <c r="D12" s="35" t="n">
        <v>20</v>
      </c>
      <c r="E12" s="36" t="n">
        <v>-3.4</v>
      </c>
      <c r="F12" s="37" t="s">
        <v>153</v>
      </c>
    </row>
    <row r="13" customFormat="false" ht="26.85" hidden="false" customHeight="false" outlineLevel="0" collapsed="false">
      <c r="A13" s="38" t="s">
        <v>156</v>
      </c>
      <c r="B13" s="39" t="s">
        <v>158</v>
      </c>
      <c r="C13" s="40" t="n">
        <v>15.8</v>
      </c>
      <c r="D13" s="41" t="n">
        <v>20</v>
      </c>
      <c r="E13" s="42" t="n">
        <v>-4.2</v>
      </c>
      <c r="F13" s="41"/>
    </row>
    <row r="14" customFormat="false" ht="26.85" hidden="false" customHeight="false" outlineLevel="0" collapsed="false">
      <c r="A14" s="38" t="s">
        <v>156</v>
      </c>
      <c r="B14" s="39" t="s">
        <v>159</v>
      </c>
      <c r="C14" s="40" t="n">
        <v>10.3</v>
      </c>
      <c r="D14" s="41" t="n">
        <v>20</v>
      </c>
      <c r="E14" s="42" t="n">
        <v>-9.7</v>
      </c>
      <c r="F14" s="41"/>
    </row>
    <row r="15" customFormat="false" ht="26.85" hidden="false" customHeight="false" outlineLevel="0" collapsed="false">
      <c r="A15" s="38" t="s">
        <v>160</v>
      </c>
      <c r="B15" s="39" t="s">
        <v>161</v>
      </c>
      <c r="C15" s="40" t="n">
        <v>105.9</v>
      </c>
      <c r="D15" s="41" t="n">
        <v>67</v>
      </c>
      <c r="E15" s="42" t="n">
        <v>38.9</v>
      </c>
      <c r="F15" s="41"/>
    </row>
    <row r="16" customFormat="false" ht="26.85" hidden="false" customHeight="false" outlineLevel="0" collapsed="false">
      <c r="A16" s="38" t="s">
        <v>160</v>
      </c>
      <c r="B16" s="39" t="s">
        <v>162</v>
      </c>
      <c r="C16" s="40" t="n">
        <v>65.8</v>
      </c>
      <c r="D16" s="41" t="n">
        <v>67</v>
      </c>
      <c r="E16" s="42" t="n">
        <v>-1.2</v>
      </c>
      <c r="F16" s="41"/>
    </row>
    <row r="17" customFormat="false" ht="26.85" hidden="false" customHeight="false" outlineLevel="0" collapsed="false">
      <c r="A17" s="32" t="s">
        <v>160</v>
      </c>
      <c r="B17" s="33" t="s">
        <v>163</v>
      </c>
      <c r="C17" s="34" t="n">
        <v>67.4</v>
      </c>
      <c r="D17" s="35" t="n">
        <v>67</v>
      </c>
      <c r="E17" s="36" t="n">
        <v>0.4</v>
      </c>
      <c r="F17" s="37" t="s">
        <v>153</v>
      </c>
    </row>
    <row r="18" customFormat="false" ht="26.85" hidden="false" customHeight="false" outlineLevel="0" collapsed="false">
      <c r="A18" s="38" t="s">
        <v>160</v>
      </c>
      <c r="B18" s="39" t="s">
        <v>164</v>
      </c>
      <c r="C18" s="40" t="n">
        <v>63.2</v>
      </c>
      <c r="D18" s="41" t="n">
        <v>67</v>
      </c>
      <c r="E18" s="42" t="n">
        <v>-3.8</v>
      </c>
      <c r="F18" s="41"/>
    </row>
    <row r="20" customFormat="false" ht="15" hidden="false" customHeight="false" outlineLevel="0" collapsed="false">
      <c r="A20" s="29" t="s">
        <v>165</v>
      </c>
      <c r="B20" s="28"/>
      <c r="C20" s="28"/>
      <c r="D20" s="28"/>
      <c r="E20" s="28"/>
      <c r="F20" s="28"/>
      <c r="G20" s="28"/>
    </row>
    <row r="21" customFormat="false" ht="23.85" hidden="false" customHeight="true" outlineLevel="0" collapsed="false">
      <c r="A21" s="29" t="s">
        <v>160</v>
      </c>
      <c r="B21" s="28" t="s">
        <v>166</v>
      </c>
      <c r="C21" s="28"/>
      <c r="D21" s="28"/>
      <c r="E21" s="28"/>
      <c r="F21" s="28"/>
      <c r="G21" s="28"/>
    </row>
    <row r="22" customFormat="false" ht="23.85" hidden="false" customHeight="true" outlineLevel="0" collapsed="false">
      <c r="A22" s="29" t="s">
        <v>151</v>
      </c>
      <c r="B22" s="28" t="s">
        <v>167</v>
      </c>
      <c r="C22" s="28"/>
      <c r="D22" s="28"/>
      <c r="E22" s="28"/>
      <c r="F22" s="28"/>
      <c r="G22" s="28"/>
    </row>
    <row r="23" customFormat="false" ht="15" hidden="false" customHeight="true" outlineLevel="0" collapsed="false">
      <c r="A23" s="29" t="s">
        <v>156</v>
      </c>
      <c r="B23" s="28" t="s">
        <v>168</v>
      </c>
      <c r="C23" s="28"/>
      <c r="D23" s="28"/>
      <c r="E23" s="28"/>
      <c r="F23" s="28"/>
      <c r="G23" s="28"/>
    </row>
    <row r="24" customFormat="false" ht="15" hidden="false" customHeight="false" outlineLevel="0" collapsed="false">
      <c r="A24" s="29"/>
      <c r="B24" s="28"/>
      <c r="C24" s="28"/>
      <c r="D24" s="28"/>
      <c r="E24" s="28"/>
      <c r="F24" s="28"/>
      <c r="G24" s="28"/>
    </row>
    <row r="25" customFormat="false" ht="15" hidden="false" customHeight="false" outlineLevel="0" collapsed="false">
      <c r="A25" s="29" t="s">
        <v>169</v>
      </c>
      <c r="B25" s="28"/>
      <c r="C25" s="28"/>
      <c r="D25" s="28"/>
      <c r="E25" s="28"/>
      <c r="F25" s="28"/>
      <c r="G25" s="28"/>
    </row>
    <row r="26" customFormat="false" ht="15" hidden="false" customHeight="true" outlineLevel="0" collapsed="false">
      <c r="A26" s="29" t="s">
        <v>170</v>
      </c>
      <c r="B26" s="28" t="s">
        <v>171</v>
      </c>
      <c r="C26" s="28"/>
      <c r="D26" s="28"/>
      <c r="E26" s="28"/>
      <c r="F26" s="28"/>
      <c r="G26" s="28"/>
    </row>
    <row r="27" customFormat="false" ht="15" hidden="false" customHeight="true" outlineLevel="0" collapsed="false">
      <c r="A27" s="29" t="s">
        <v>172</v>
      </c>
      <c r="B27" s="28" t="s">
        <v>173</v>
      </c>
      <c r="C27" s="28"/>
      <c r="D27" s="28"/>
      <c r="E27" s="28"/>
      <c r="F27" s="28"/>
      <c r="G27" s="28"/>
    </row>
    <row r="28" customFormat="false" ht="23.85" hidden="false" customHeight="true" outlineLevel="0" collapsed="false">
      <c r="A28" s="29" t="s">
        <v>174</v>
      </c>
      <c r="B28" s="28" t="s">
        <v>175</v>
      </c>
      <c r="C28" s="28"/>
      <c r="D28" s="28"/>
      <c r="E28" s="28"/>
      <c r="F28" s="28"/>
      <c r="G28" s="28"/>
    </row>
    <row r="29" customFormat="false" ht="23.85" hidden="false" customHeight="true" outlineLevel="0" collapsed="false">
      <c r="A29" s="29" t="s">
        <v>176</v>
      </c>
      <c r="B29" s="28" t="s">
        <v>177</v>
      </c>
      <c r="C29" s="28"/>
      <c r="D29" s="28"/>
      <c r="E29" s="28"/>
      <c r="F29" s="28"/>
      <c r="G29" s="28"/>
    </row>
  </sheetData>
  <mergeCells count="14">
    <mergeCell ref="A1:G1"/>
    <mergeCell ref="A2:G2"/>
    <mergeCell ref="A3:G3"/>
    <mergeCell ref="A4:G4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2026-07-21T10:19:43Z</dcterms:created>
  <dc:creator>openpyxl</dc:creator>
  <dc:description/>
  <dc:language>en-US</dc:language>
  <cp:lastModifiedBy/>
  <dcterms:modified xsi:type="dcterms:W3CDTF">2026-07-22T05:37:12Z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