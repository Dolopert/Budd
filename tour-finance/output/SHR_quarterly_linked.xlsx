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692.241</v>
      </c>
      <c r="C2" t="n">
        <v>837.966</v>
      </c>
      <c r="D2" t="n">
        <v>1433.64</v>
      </c>
      <c r="E2" s="3">
        <f>F2-B2-C2-D2</f>
        <v/>
      </c>
      <c r="F2" t="n">
        <v>4689.55</v>
      </c>
      <c r="G2" t="n">
        <v>1700.05</v>
      </c>
      <c r="H2" t="n">
        <v>2094.021</v>
      </c>
      <c r="I2" t="n">
        <v>2466.344</v>
      </c>
      <c r="J2" s="3">
        <f>K2-G2-H2-I2</f>
        <v/>
      </c>
      <c r="K2" t="n">
        <v>8824.288</v>
      </c>
      <c r="L2" t="n">
        <v>2576.759</v>
      </c>
      <c r="M2" t="n">
        <v>2318.612</v>
      </c>
      <c r="N2" t="n">
        <v>2495.846</v>
      </c>
      <c r="O2" s="3">
        <f>P2-L2-M2-N2</f>
        <v/>
      </c>
      <c r="P2" t="n">
        <v>10096.755</v>
      </c>
      <c r="Q2" t="n">
        <v>2781.537</v>
      </c>
      <c r="R2" t="n">
        <v>2527.774</v>
      </c>
      <c r="S2" t="n">
        <v>2538.71</v>
      </c>
      <c r="T2" s="3">
        <f>U2-Q2-R2-S2</f>
        <v/>
      </c>
      <c r="U2" t="n">
        <v>10558.246</v>
      </c>
      <c r="V2" t="n">
        <v>2649.224</v>
      </c>
      <c r="W2" t="n">
        <v>2431.997</v>
      </c>
      <c r="X2" t="n">
        <v>2604.449</v>
      </c>
      <c r="Y2" s="3">
        <f>Z2-V2-W2-X2</f>
        <v/>
      </c>
      <c r="Z2" t="n">
        <v>10411.173</v>
      </c>
    </row>
    <row r="3">
      <c r="A3" s="2" t="inlineStr">
        <is>
          <t>รายได้อื่น</t>
        </is>
      </c>
      <c r="B3" t="n">
        <v>148.477</v>
      </c>
      <c r="C3" t="n">
        <v>34.821</v>
      </c>
      <c r="D3" t="n">
        <v>12.028</v>
      </c>
      <c r="E3" s="3">
        <f>F3-B3-C3-D3</f>
        <v/>
      </c>
      <c r="F3" t="n">
        <v>177.096</v>
      </c>
      <c r="G3" t="n">
        <v>10.428</v>
      </c>
      <c r="H3" t="n">
        <v>22.688</v>
      </c>
      <c r="I3" t="n">
        <v>104.247</v>
      </c>
      <c r="J3" s="3">
        <f>K3-G3-H3-I3</f>
        <v/>
      </c>
      <c r="K3" t="n">
        <v>131.735</v>
      </c>
      <c r="L3" t="n">
        <v>32.486</v>
      </c>
      <c r="M3" t="n">
        <v>41.534</v>
      </c>
      <c r="N3" t="n">
        <v>95.017</v>
      </c>
      <c r="O3" s="3">
        <f>P3-L3-M3-N3</f>
        <v/>
      </c>
      <c r="P3" t="n">
        <v>395.675</v>
      </c>
      <c r="Q3" t="n">
        <v>38.763</v>
      </c>
      <c r="R3" t="n">
        <v>58.683</v>
      </c>
      <c r="S3" t="n">
        <v>5.019</v>
      </c>
      <c r="T3" s="3">
        <f>U3-Q3-R3-S3</f>
        <v/>
      </c>
      <c r="U3" t="n">
        <v>206</v>
      </c>
      <c r="V3" t="n">
        <v>27.131</v>
      </c>
      <c r="W3" t="n">
        <v>30.904</v>
      </c>
      <c r="X3" t="n">
        <v>26.163</v>
      </c>
      <c r="Y3" s="3">
        <f>Z3-V3-W3-X3</f>
        <v/>
      </c>
      <c r="Z3" t="n">
        <v>111.837</v>
      </c>
    </row>
    <row r="4">
      <c r="A4" s="2" t="inlineStr">
        <is>
          <t>ต้นทุนขาย (จริง)</t>
        </is>
      </c>
      <c r="B4" t="n">
        <v>566.057</v>
      </c>
      <c r="C4" t="n">
        <v>785.5359999999999</v>
      </c>
      <c r="D4" t="n">
        <v>1018.67</v>
      </c>
      <c r="E4" s="3">
        <f>F4-B4-C4-D4</f>
        <v/>
      </c>
      <c r="F4" t="n">
        <v>3595.957</v>
      </c>
      <c r="G4" t="n">
        <v>1258.798</v>
      </c>
      <c r="H4" t="n">
        <v>1427.143</v>
      </c>
      <c r="I4" t="n">
        <v>1528.194</v>
      </c>
      <c r="J4" s="3">
        <f>K4-G4-H4-I4</f>
        <v/>
      </c>
      <c r="K4" t="n">
        <v>5807.443</v>
      </c>
      <c r="L4" t="n">
        <v>1604.888</v>
      </c>
      <c r="M4" t="n">
        <v>1598.95</v>
      </c>
      <c r="N4" t="n">
        <v>1548.071</v>
      </c>
      <c r="O4" s="3">
        <f>P4-L4-M4-N4</f>
        <v/>
      </c>
      <c r="P4" t="n">
        <v>6326.417</v>
      </c>
      <c r="Q4" t="n">
        <v>1633.455</v>
      </c>
      <c r="R4" t="n">
        <v>1657.384</v>
      </c>
      <c r="S4" t="n">
        <v>1565.109</v>
      </c>
      <c r="T4" s="3">
        <f>U4-Q4-R4-S4</f>
        <v/>
      </c>
      <c r="U4" t="n">
        <v>6450.213</v>
      </c>
      <c r="V4" t="n">
        <v>1582.956</v>
      </c>
      <c r="W4" t="n">
        <v>1528.045</v>
      </c>
      <c r="X4" t="n">
        <v>1544.681</v>
      </c>
      <c r="Y4" s="3">
        <f>Z4-V4-W4-X4</f>
        <v/>
      </c>
      <c r="Z4" t="n">
        <v>6279.64</v>
      </c>
    </row>
    <row r="5">
      <c r="A5" s="2" t="inlineStr">
        <is>
          <t>กำไรสุทธิ (รวม)</t>
        </is>
      </c>
      <c r="B5" t="n">
        <v>-310.898</v>
      </c>
      <c r="C5" t="n">
        <v>-571.4349999999999</v>
      </c>
      <c r="D5" t="n">
        <v>-281.861</v>
      </c>
      <c r="E5" s="3">
        <f>F5-B5-C5-D5</f>
        <v/>
      </c>
      <c r="F5" t="n">
        <v>-1234.222</v>
      </c>
      <c r="G5" t="n">
        <v>-204.086</v>
      </c>
      <c r="H5" t="n">
        <v>-96.879</v>
      </c>
      <c r="I5" t="n">
        <v>207.484</v>
      </c>
      <c r="J5" s="3">
        <f>K5-G5-H5-I5</f>
        <v/>
      </c>
      <c r="K5" t="n">
        <v>14.382</v>
      </c>
      <c r="L5" t="n">
        <v>124.881</v>
      </c>
      <c r="M5" t="n">
        <v>3.004</v>
      </c>
      <c r="N5" t="n">
        <v>15.01</v>
      </c>
      <c r="O5" s="3">
        <f>P5-L5-M5-N5</f>
        <v/>
      </c>
      <c r="P5" t="n">
        <v>86.407</v>
      </c>
      <c r="Q5" t="n">
        <v>111.624</v>
      </c>
      <c r="R5" t="n">
        <v>-71.592</v>
      </c>
      <c r="S5" t="n">
        <v>-53.396</v>
      </c>
      <c r="T5" s="3">
        <f>U5-Q5-R5-S5</f>
        <v/>
      </c>
      <c r="U5" t="n">
        <v>133.934</v>
      </c>
      <c r="V5" t="n">
        <v>175.544</v>
      </c>
      <c r="W5" t="n">
        <v>24.22</v>
      </c>
      <c r="X5" t="n">
        <v>128.587</v>
      </c>
      <c r="Y5" s="3">
        <f>Z5-V5-W5-X5</f>
        <v/>
      </c>
      <c r="Z5" t="n">
        <v>-1586.048</v>
      </c>
    </row>
    <row r="6">
      <c r="A6" s="2" t="inlineStr">
        <is>
          <t>กำไรสุทธิ (ส่วนแม่)</t>
        </is>
      </c>
      <c r="B6" s="4" t="n"/>
      <c r="C6" s="4" t="n"/>
      <c r="D6" s="4" t="n"/>
      <c r="E6" s="3">
        <f>F6-B6-C6-D6</f>
        <v/>
      </c>
      <c r="F6" s="3">
        <f>B6+C6+D6+E6</f>
        <v/>
      </c>
      <c r="G6" s="4" t="n"/>
      <c r="H6" s="4" t="n"/>
      <c r="I6" s="4" t="n"/>
      <c r="J6" s="3">
        <f>K6-G6-H6-I6</f>
        <v/>
      </c>
      <c r="K6" s="3">
        <f>G6+H6+I6+J6</f>
        <v/>
      </c>
      <c r="L6" s="4" t="n"/>
      <c r="M6" s="4" t="n"/>
      <c r="N6" s="4" t="n"/>
      <c r="O6" s="3">
        <f>P6-L6-M6-N6</f>
        <v/>
      </c>
      <c r="P6" s="3">
        <f>L6+M6+N6+O6</f>
        <v/>
      </c>
      <c r="Q6" s="4" t="n"/>
      <c r="R6" s="4" t="n"/>
      <c r="S6" s="4" t="n"/>
      <c r="T6" s="3">
        <f>U6-Q6-R6-S6</f>
        <v/>
      </c>
      <c r="U6" s="3">
        <f>Q6+R6+S6+T6</f>
        <v/>
      </c>
      <c r="V6" s="4" t="n"/>
      <c r="W6" s="4" t="n"/>
      <c r="X6" s="4" t="n"/>
      <c r="Y6" s="3">
        <f>Z6-V6-W6-X6</f>
        <v/>
      </c>
      <c r="Z6" s="3">
        <f>V6+W6+X6+Y6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52.299</v>
      </c>
      <c r="C2" t="n">
        <v>113.022</v>
      </c>
      <c r="D2" t="n">
        <v>116.663</v>
      </c>
      <c r="E2" t="n">
        <v>212.509</v>
      </c>
      <c r="F2" t="n">
        <v>387.226</v>
      </c>
      <c r="G2" t="n">
        <v>392.217</v>
      </c>
      <c r="H2" t="n">
        <v>439.668</v>
      </c>
      <c r="I2" t="n">
        <v>464.506</v>
      </c>
      <c r="J2" t="n">
        <v>501.356</v>
      </c>
      <c r="K2" t="n">
        <v>437.075</v>
      </c>
      <c r="L2" t="n">
        <v>443.983</v>
      </c>
      <c r="M2" t="n">
        <v>386.003</v>
      </c>
      <c r="N2" t="n">
        <v>534.556</v>
      </c>
      <c r="O2" t="n">
        <v>480.556</v>
      </c>
      <c r="P2" t="n">
        <v>343.433</v>
      </c>
      <c r="Q2" t="n">
        <v>316.165</v>
      </c>
      <c r="R2" t="n">
        <v>475.753</v>
      </c>
      <c r="S2" t="n">
        <v>502.606</v>
      </c>
      <c r="T2" t="n">
        <v>331.082</v>
      </c>
      <c r="U2" t="n">
        <v>361.827</v>
      </c>
      <c r="V2" t="n">
        <v>406.258</v>
      </c>
    </row>
    <row r="3">
      <c r="A3" s="2" t="inlineStr">
        <is>
          <t>สินค้าคงเหลือ</t>
        </is>
      </c>
      <c r="B3" t="n">
        <v>175.762</v>
      </c>
      <c r="C3" t="n">
        <v>184.864</v>
      </c>
      <c r="D3" t="n">
        <v>165.008</v>
      </c>
      <c r="E3" t="n">
        <v>168.977</v>
      </c>
      <c r="F3" t="n">
        <v>197.777</v>
      </c>
      <c r="G3" t="n">
        <v>194.508</v>
      </c>
      <c r="H3" t="n">
        <v>205.79</v>
      </c>
      <c r="I3" t="n">
        <v>214.535</v>
      </c>
      <c r="J3" t="n">
        <v>228.506</v>
      </c>
      <c r="K3" t="n">
        <v>222.848</v>
      </c>
      <c r="L3" t="n">
        <v>233.082</v>
      </c>
      <c r="M3" t="n">
        <v>230.417</v>
      </c>
      <c r="N3" t="n">
        <v>230.951</v>
      </c>
      <c r="O3" t="n">
        <v>219.271</v>
      </c>
      <c r="P3" t="n">
        <v>220.927</v>
      </c>
      <c r="Q3" t="n">
        <v>199.997</v>
      </c>
      <c r="R3" t="n">
        <v>232.259</v>
      </c>
      <c r="S3" t="n">
        <v>223.595</v>
      </c>
      <c r="T3" t="n">
        <v>220.973</v>
      </c>
      <c r="U3" t="n">
        <v>231.174</v>
      </c>
      <c r="V3" t="n">
        <v>244.432</v>
      </c>
    </row>
    <row r="4">
      <c r="A4" s="2" t="inlineStr">
        <is>
          <t>เจ้าหนี้การค้า</t>
        </is>
      </c>
      <c r="B4" t="n">
        <v>587.285</v>
      </c>
      <c r="C4" t="n">
        <v>1434.284</v>
      </c>
      <c r="D4" t="n">
        <v>1311.748</v>
      </c>
      <c r="E4" t="n">
        <v>1503.368</v>
      </c>
      <c r="F4" t="n">
        <v>1634.569</v>
      </c>
      <c r="G4" t="n">
        <v>1603.991</v>
      </c>
      <c r="H4" t="n">
        <v>1687.776</v>
      </c>
      <c r="I4" t="n">
        <v>1535.406</v>
      </c>
      <c r="J4" t="n">
        <v>1710.634</v>
      </c>
      <c r="K4" t="n">
        <v>1726.671</v>
      </c>
      <c r="L4" t="n">
        <v>1764.509</v>
      </c>
      <c r="M4" t="n">
        <v>1719.383</v>
      </c>
      <c r="N4" t="n">
        <v>1666.948</v>
      </c>
      <c r="O4" t="n">
        <v>1545.236</v>
      </c>
      <c r="P4" t="n">
        <v>1017.739</v>
      </c>
      <c r="Q4" t="n">
        <v>934.721</v>
      </c>
      <c r="R4" t="n">
        <v>975.127</v>
      </c>
      <c r="S4" t="n">
        <v>865.016</v>
      </c>
      <c r="T4" t="n">
        <v>819.563</v>
      </c>
      <c r="U4" t="n">
        <v>807.788</v>
      </c>
      <c r="V4" t="n">
        <v>1009.863</v>
      </c>
    </row>
    <row r="5">
      <c r="A5" s="2" t="inlineStr">
        <is>
          <t>สินทรัพย์รวม</t>
        </is>
      </c>
      <c r="B5" t="n">
        <v>27117.268</v>
      </c>
      <c r="C5" t="n">
        <v>36754.953</v>
      </c>
      <c r="D5" t="n">
        <v>37165.42</v>
      </c>
      <c r="E5" t="n">
        <v>38408.151</v>
      </c>
      <c r="F5" t="n">
        <v>37214.118</v>
      </c>
      <c r="G5" t="n">
        <v>36458.411</v>
      </c>
      <c r="H5" t="n">
        <v>37047.483</v>
      </c>
      <c r="I5" t="n">
        <v>38433.024</v>
      </c>
      <c r="J5" t="n">
        <v>36449.599</v>
      </c>
      <c r="K5" t="n">
        <v>36139.858</v>
      </c>
      <c r="L5" t="n">
        <v>38010.378</v>
      </c>
      <c r="M5" t="n">
        <v>38311.374</v>
      </c>
      <c r="N5" t="n">
        <v>37722.704</v>
      </c>
      <c r="O5" t="n">
        <v>39325.93</v>
      </c>
      <c r="P5" t="n">
        <v>38844.783</v>
      </c>
      <c r="Q5" t="n">
        <v>35396.49</v>
      </c>
      <c r="R5" t="n">
        <v>36325.359</v>
      </c>
      <c r="S5" t="n">
        <v>36612.798</v>
      </c>
      <c r="T5" t="n">
        <v>35934.539</v>
      </c>
      <c r="U5" t="n">
        <v>35409.916</v>
      </c>
      <c r="V5" t="n">
        <v>33003.412</v>
      </c>
    </row>
    <row r="6">
      <c r="A6" s="2" t="inlineStr">
        <is>
          <t>ส่วนของเจ้าของรวม</t>
        </is>
      </c>
      <c r="B6" t="n">
        <v>15675.937</v>
      </c>
      <c r="C6" t="n">
        <v>15954.945</v>
      </c>
      <c r="D6" t="n">
        <v>15819.261</v>
      </c>
      <c r="E6" t="n">
        <v>16238.608</v>
      </c>
      <c r="F6" t="n">
        <v>15881.858</v>
      </c>
      <c r="G6" t="n">
        <v>15549.686</v>
      </c>
      <c r="H6" t="n">
        <v>15997.386</v>
      </c>
      <c r="I6" t="n">
        <v>17083.078</v>
      </c>
      <c r="J6" t="n">
        <v>16019.169</v>
      </c>
      <c r="K6" t="n">
        <v>15973.516</v>
      </c>
      <c r="L6" t="n">
        <v>16580.939</v>
      </c>
      <c r="M6" t="n">
        <v>16834.999</v>
      </c>
      <c r="N6" t="n">
        <v>16091.047</v>
      </c>
      <c r="O6" t="n">
        <v>17091.248</v>
      </c>
      <c r="P6" t="n">
        <v>17119.998</v>
      </c>
      <c r="Q6" t="n">
        <v>15365.781</v>
      </c>
      <c r="R6" t="n">
        <v>15925.838</v>
      </c>
      <c r="S6" t="n">
        <v>16235.452</v>
      </c>
      <c r="T6" t="n">
        <v>15859.504</v>
      </c>
      <c r="U6" t="n">
        <v>15649.4</v>
      </c>
      <c r="V6" t="n">
        <v>13373.217</v>
      </c>
    </row>
    <row r="7">
      <c r="A7" s="2" t="inlineStr">
        <is>
          <t>หนี้สินรวม</t>
        </is>
      </c>
      <c r="B7" t="n">
        <v>11441.331</v>
      </c>
      <c r="C7" t="n">
        <v>20800.008</v>
      </c>
      <c r="D7" t="n">
        <v>21346.159</v>
      </c>
      <c r="E7" t="n">
        <v>22169.543</v>
      </c>
      <c r="F7" t="n">
        <v>21332.26</v>
      </c>
      <c r="G7" t="n">
        <v>20908.725</v>
      </c>
      <c r="H7" t="n">
        <v>21050.097</v>
      </c>
      <c r="I7" t="n">
        <v>21349.946</v>
      </c>
      <c r="J7" t="n">
        <v>20430.43</v>
      </c>
      <c r="K7" t="n">
        <v>20166.342</v>
      </c>
      <c r="L7" t="n">
        <v>21429.439</v>
      </c>
      <c r="M7" t="n">
        <v>21476.375</v>
      </c>
      <c r="N7" t="n">
        <v>21631.656</v>
      </c>
      <c r="O7" t="n">
        <v>22234.682</v>
      </c>
      <c r="P7" t="n">
        <v>21724.785</v>
      </c>
      <c r="Q7" t="n">
        <v>20030.709</v>
      </c>
      <c r="R7" t="n">
        <v>20399.521</v>
      </c>
      <c r="S7" t="n">
        <v>20377.346</v>
      </c>
      <c r="T7" t="n">
        <v>20075.035</v>
      </c>
      <c r="U7" t="n">
        <v>19760.516</v>
      </c>
      <c r="V7" t="n">
        <v>19630.194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SHR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2026-07-23T18:42:11Z</dcterms:created>
  <dcterms:modified xmlns:dcterms="http://purl.org/dc/terms/" xmlns:xsi="http://www.w3.org/2001/XMLSchema-instance" xsi:type="dcterms:W3CDTF">2026-07-23T18:42:11Z</dcterms:modified>
</cp:coreProperties>
</file>