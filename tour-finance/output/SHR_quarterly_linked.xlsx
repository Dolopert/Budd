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4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t="n">
        <v>692.241</v>
      </c>
      <c r="C2" t="n">
        <v>837.966</v>
      </c>
      <c r="D2" t="n">
        <v>1433.64</v>
      </c>
      <c r="E2" s="3">
        <f>F2-B2-C2-D2</f>
        <v/>
      </c>
      <c r="F2" t="n">
        <v>4689.55</v>
      </c>
      <c r="G2" t="n">
        <v>1700.05</v>
      </c>
      <c r="H2" t="n">
        <v>2094.021</v>
      </c>
      <c r="I2" t="n">
        <v>2466.344</v>
      </c>
      <c r="J2" s="3">
        <f>K2-G2-H2-I2</f>
        <v/>
      </c>
      <c r="K2" t="n">
        <v>8824.288</v>
      </c>
      <c r="L2" t="n">
        <v>2576.759</v>
      </c>
      <c r="M2" t="n">
        <v>2318.612</v>
      </c>
      <c r="N2" t="n">
        <v>2495.846</v>
      </c>
      <c r="O2" s="3">
        <f>P2-L2-M2-N2</f>
        <v/>
      </c>
      <c r="P2" t="n">
        <v>10096.755</v>
      </c>
      <c r="Q2" t="n">
        <v>2781.537</v>
      </c>
      <c r="R2" t="n">
        <v>2527.774</v>
      </c>
      <c r="S2" t="n">
        <v>2538.71</v>
      </c>
      <c r="T2" s="3">
        <f>U2-Q2-R2-S2</f>
        <v/>
      </c>
      <c r="U2" t="n">
        <v>10558.246</v>
      </c>
      <c r="V2" t="n">
        <v>2649.224</v>
      </c>
      <c r="W2" t="n">
        <v>2431.997</v>
      </c>
      <c r="X2" t="n">
        <v>2604.449</v>
      </c>
      <c r="Y2" s="3">
        <f>Z2-V2-W2-X2</f>
        <v/>
      </c>
      <c r="Z2" t="n">
        <v>10411.173</v>
      </c>
    </row>
    <row r="3">
      <c r="A3" s="2" t="inlineStr">
        <is>
          <t>รายได้อื่น</t>
        </is>
      </c>
      <c r="B3" t="n">
        <v>148.477</v>
      </c>
      <c r="C3" t="n">
        <v>34.821</v>
      </c>
      <c r="D3" t="n">
        <v>12.028</v>
      </c>
      <c r="E3" s="3">
        <f>F3-B3-C3-D3</f>
        <v/>
      </c>
      <c r="F3" t="n">
        <v>177.096</v>
      </c>
      <c r="G3" t="n">
        <v>10.428</v>
      </c>
      <c r="H3" t="n">
        <v>22.688</v>
      </c>
      <c r="I3" t="n">
        <v>104.247</v>
      </c>
      <c r="J3" s="3">
        <f>K3-G3-H3-I3</f>
        <v/>
      </c>
      <c r="K3" t="n">
        <v>131.735</v>
      </c>
      <c r="L3" t="n">
        <v>32.486</v>
      </c>
      <c r="M3" t="n">
        <v>41.534</v>
      </c>
      <c r="N3" t="n">
        <v>95.017</v>
      </c>
      <c r="O3" s="3">
        <f>P3-L3-M3-N3</f>
        <v/>
      </c>
      <c r="P3" t="n">
        <v>395.675</v>
      </c>
      <c r="Q3" t="n">
        <v>38.763</v>
      </c>
      <c r="R3" t="n">
        <v>58.683</v>
      </c>
      <c r="S3" t="n">
        <v>5.019</v>
      </c>
      <c r="T3" s="3">
        <f>U3-Q3-R3-S3</f>
        <v/>
      </c>
      <c r="U3" t="n">
        <v>206</v>
      </c>
      <c r="V3" t="n">
        <v>27.131</v>
      </c>
      <c r="W3" t="n">
        <v>30.904</v>
      </c>
      <c r="X3" t="n">
        <v>26.163</v>
      </c>
      <c r="Y3" s="3">
        <f>Z3-V3-W3-X3</f>
        <v/>
      </c>
      <c r="Z3" t="n">
        <v>111.837</v>
      </c>
    </row>
    <row r="4">
      <c r="A4" s="2" t="inlineStr">
        <is>
          <t>ต้นทุนขาย (จริง)</t>
        </is>
      </c>
      <c r="B4" t="n">
        <v>566.057</v>
      </c>
      <c r="C4" t="n">
        <v>785.5359999999999</v>
      </c>
      <c r="D4" t="n">
        <v>1018.67</v>
      </c>
      <c r="E4" s="3">
        <f>F4-B4-C4-D4</f>
        <v/>
      </c>
      <c r="F4" t="n">
        <v>3595.957</v>
      </c>
      <c r="G4" t="n">
        <v>1258.798</v>
      </c>
      <c r="H4" t="n">
        <v>1427.143</v>
      </c>
      <c r="I4" t="n">
        <v>1528.194</v>
      </c>
      <c r="J4" s="3">
        <f>K4-G4-H4-I4</f>
        <v/>
      </c>
      <c r="K4" t="n">
        <v>5807.443</v>
      </c>
      <c r="L4" t="n">
        <v>1604.888</v>
      </c>
      <c r="M4" t="n">
        <v>1598.95</v>
      </c>
      <c r="N4" t="n">
        <v>1548.071</v>
      </c>
      <c r="O4" s="3">
        <f>P4-L4-M4-N4</f>
        <v/>
      </c>
      <c r="P4" t="n">
        <v>6326.417</v>
      </c>
      <c r="Q4" t="n">
        <v>1633.455</v>
      </c>
      <c r="R4" t="n">
        <v>1657.384</v>
      </c>
      <c r="S4" t="n">
        <v>1565.109</v>
      </c>
      <c r="T4" s="3">
        <f>U4-Q4-R4-S4</f>
        <v/>
      </c>
      <c r="U4" t="n">
        <v>6450.213</v>
      </c>
      <c r="V4" t="n">
        <v>1582.956</v>
      </c>
      <c r="W4" t="n">
        <v>1528.045</v>
      </c>
      <c r="X4" t="n">
        <v>1544.681</v>
      </c>
      <c r="Y4" s="3">
        <f>Z4-V4-W4-X4</f>
        <v/>
      </c>
      <c r="Z4" t="n">
        <v>6279.64</v>
      </c>
    </row>
    <row r="5">
      <c r="A5" s="2" t="inlineStr">
        <is>
          <t>กำไรสุทธิ (รวม)</t>
        </is>
      </c>
      <c r="B5" t="n">
        <v>-310.898</v>
      </c>
      <c r="C5" t="n">
        <v>-571.4349999999999</v>
      </c>
      <c r="D5" t="n">
        <v>-281.861</v>
      </c>
      <c r="E5" s="3">
        <f>F5-B5-C5-D5</f>
        <v/>
      </c>
      <c r="F5" t="n">
        <v>-1234.222</v>
      </c>
      <c r="G5" t="n">
        <v>-204.086</v>
      </c>
      <c r="H5" t="n">
        <v>-96.879</v>
      </c>
      <c r="I5" t="n">
        <v>207.484</v>
      </c>
      <c r="J5" s="3">
        <f>K5-G5-H5-I5</f>
        <v/>
      </c>
      <c r="K5" t="n">
        <v>14.382</v>
      </c>
      <c r="L5" t="n">
        <v>124.881</v>
      </c>
      <c r="M5" t="n">
        <v>3.004</v>
      </c>
      <c r="N5" t="n">
        <v>15.01</v>
      </c>
      <c r="O5" s="3">
        <f>P5-L5-M5-N5</f>
        <v/>
      </c>
      <c r="P5" t="n">
        <v>86.407</v>
      </c>
      <c r="Q5" t="n">
        <v>111.624</v>
      </c>
      <c r="R5" t="n">
        <v>-71.592</v>
      </c>
      <c r="S5" t="n">
        <v>-53.396</v>
      </c>
      <c r="T5" s="3">
        <f>U5-Q5-R5-S5</f>
        <v/>
      </c>
      <c r="U5" t="n">
        <v>133.934</v>
      </c>
      <c r="V5" t="n">
        <v>175.544</v>
      </c>
      <c r="W5" t="n">
        <v>24.22</v>
      </c>
      <c r="X5" t="n">
        <v>128.587</v>
      </c>
      <c r="Y5" s="3">
        <f>Z5-V5-W5-X5</f>
        <v/>
      </c>
      <c r="Z5" t="n">
        <v>-1586.048</v>
      </c>
    </row>
    <row r="6">
      <c r="A6" s="2" t="inlineStr">
        <is>
          <t>กำไรสุทธิ (ส่วนแม่)</t>
        </is>
      </c>
      <c r="B6" s="4" t="n"/>
      <c r="C6" s="4" t="n"/>
      <c r="D6" s="4" t="n"/>
      <c r="E6" s="4" t="n"/>
      <c r="F6" s="3">
        <f>B6+C6+D6+E6</f>
        <v/>
      </c>
      <c r="G6" s="4" t="n"/>
      <c r="H6" s="4" t="n"/>
      <c r="I6" s="4" t="n"/>
      <c r="J6" s="4" t="n"/>
      <c r="K6" s="3">
        <f>G6+H6+I6+J6</f>
        <v/>
      </c>
      <c r="L6" s="4" t="n"/>
      <c r="M6" s="4" t="n"/>
      <c r="N6" s="4" t="n"/>
      <c r="O6" s="4" t="n"/>
      <c r="P6" s="3">
        <f>L6+M6+N6+O6</f>
        <v/>
      </c>
      <c r="Q6" s="4" t="n"/>
      <c r="R6" s="4" t="n"/>
      <c r="S6" s="4" t="n"/>
      <c r="T6" s="4" t="n"/>
      <c r="U6" s="3">
        <f>Q6+R6+S6+T6</f>
        <v/>
      </c>
      <c r="V6" s="4" t="n"/>
      <c r="W6" s="4" t="n"/>
      <c r="X6" s="4" t="n"/>
      <c r="Y6" s="4" t="n"/>
      <c r="Z6" s="3">
        <f>V6+W6+X6+Y6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t="n">
        <v>52.299</v>
      </c>
      <c r="C2" t="n">
        <v>113.022</v>
      </c>
      <c r="D2" t="n">
        <v>116.663</v>
      </c>
      <c r="E2" t="n">
        <v>212.509</v>
      </c>
      <c r="F2" t="n">
        <v>387.226</v>
      </c>
      <c r="G2" t="n">
        <v>392.217</v>
      </c>
      <c r="H2" t="n">
        <v>439.668</v>
      </c>
      <c r="I2" t="n">
        <v>464.506</v>
      </c>
      <c r="J2" t="n">
        <v>501.356</v>
      </c>
      <c r="K2" t="n">
        <v>437.075</v>
      </c>
      <c r="L2" t="n">
        <v>443.983</v>
      </c>
      <c r="M2" t="n">
        <v>386.003</v>
      </c>
      <c r="N2" t="n">
        <v>534.556</v>
      </c>
      <c r="O2" t="n">
        <v>480.556</v>
      </c>
      <c r="P2" t="n">
        <v>343.433</v>
      </c>
      <c r="Q2" t="n">
        <v>316.165</v>
      </c>
      <c r="R2" t="n">
        <v>475.753</v>
      </c>
      <c r="S2" t="n">
        <v>502.606</v>
      </c>
      <c r="T2" t="n">
        <v>331.082</v>
      </c>
      <c r="U2" t="n">
        <v>361.827</v>
      </c>
      <c r="V2" t="n">
        <v>406.258</v>
      </c>
    </row>
    <row r="3">
      <c r="A3" s="2" t="inlineStr">
        <is>
          <t>สินค้าคงเหลือ</t>
        </is>
      </c>
      <c r="B3" t="n">
        <v>175.762</v>
      </c>
      <c r="C3" t="n">
        <v>184.864</v>
      </c>
      <c r="D3" t="n">
        <v>165.008</v>
      </c>
      <c r="E3" t="n">
        <v>168.977</v>
      </c>
      <c r="F3" t="n">
        <v>197.777</v>
      </c>
      <c r="G3" t="n">
        <v>194.508</v>
      </c>
      <c r="H3" t="n">
        <v>205.79</v>
      </c>
      <c r="I3" t="n">
        <v>214.535</v>
      </c>
      <c r="J3" t="n">
        <v>228.506</v>
      </c>
      <c r="K3" t="n">
        <v>222.848</v>
      </c>
      <c r="L3" t="n">
        <v>233.082</v>
      </c>
      <c r="M3" t="n">
        <v>230.417</v>
      </c>
      <c r="N3" t="n">
        <v>230.951</v>
      </c>
      <c r="O3" t="n">
        <v>219.271</v>
      </c>
      <c r="P3" t="n">
        <v>220.927</v>
      </c>
      <c r="Q3" t="n">
        <v>199.997</v>
      </c>
      <c r="R3" t="n">
        <v>232.259</v>
      </c>
      <c r="S3" t="n">
        <v>223.595</v>
      </c>
      <c r="T3" t="n">
        <v>220.973</v>
      </c>
      <c r="U3" t="n">
        <v>231.174</v>
      </c>
      <c r="V3" t="n">
        <v>244.432</v>
      </c>
    </row>
    <row r="4">
      <c r="A4" s="2" t="inlineStr">
        <is>
          <t>เจ้าหนี้การค้า</t>
        </is>
      </c>
      <c r="B4" t="n">
        <v>587.285</v>
      </c>
      <c r="C4" t="n">
        <v>1434.284</v>
      </c>
      <c r="D4" t="n">
        <v>1311.748</v>
      </c>
      <c r="E4" t="n">
        <v>1503.368</v>
      </c>
      <c r="F4" t="n">
        <v>1634.569</v>
      </c>
      <c r="G4" t="n">
        <v>1603.991</v>
      </c>
      <c r="H4" t="n">
        <v>1687.776</v>
      </c>
      <c r="I4" t="n">
        <v>1535.406</v>
      </c>
      <c r="J4" t="n">
        <v>1710.634</v>
      </c>
      <c r="K4" t="n">
        <v>1726.671</v>
      </c>
      <c r="L4" t="n">
        <v>1764.509</v>
      </c>
      <c r="M4" t="n">
        <v>1719.383</v>
      </c>
      <c r="N4" t="n">
        <v>1666.948</v>
      </c>
      <c r="O4" t="n">
        <v>1545.236</v>
      </c>
      <c r="P4" t="n">
        <v>1017.739</v>
      </c>
      <c r="Q4" t="n">
        <v>934.721</v>
      </c>
      <c r="R4" t="n">
        <v>975.127</v>
      </c>
      <c r="S4" t="n">
        <v>865.016</v>
      </c>
      <c r="T4" t="n">
        <v>819.563</v>
      </c>
      <c r="U4" t="n">
        <v>807.788</v>
      </c>
      <c r="V4" t="n">
        <v>1009.863</v>
      </c>
    </row>
    <row r="5">
      <c r="A5" s="2" t="inlineStr">
        <is>
          <t>สินทรัพย์รวม</t>
        </is>
      </c>
      <c r="B5" t="n">
        <v>27117.268</v>
      </c>
      <c r="C5" t="n">
        <v>36754.953</v>
      </c>
      <c r="D5" t="n">
        <v>37165.42</v>
      </c>
      <c r="E5" t="n">
        <v>38408.151</v>
      </c>
      <c r="F5" t="n">
        <v>37214.118</v>
      </c>
      <c r="G5" t="n">
        <v>36458.411</v>
      </c>
      <c r="H5" t="n">
        <v>37047.483</v>
      </c>
      <c r="I5" t="n">
        <v>38433.024</v>
      </c>
      <c r="J5" t="n">
        <v>36449.599</v>
      </c>
      <c r="K5" t="n">
        <v>36139.858</v>
      </c>
      <c r="L5" t="n">
        <v>38010.378</v>
      </c>
      <c r="M5" t="n">
        <v>38311.374</v>
      </c>
      <c r="N5" t="n">
        <v>37722.704</v>
      </c>
      <c r="O5" t="n">
        <v>39325.93</v>
      </c>
      <c r="P5" t="n">
        <v>38844.783</v>
      </c>
      <c r="Q5" t="n">
        <v>35396.49</v>
      </c>
      <c r="R5" t="n">
        <v>36325.359</v>
      </c>
      <c r="S5" t="n">
        <v>36612.798</v>
      </c>
      <c r="T5" t="n">
        <v>35934.539</v>
      </c>
      <c r="U5" t="n">
        <v>35409.916</v>
      </c>
      <c r="V5" t="n">
        <v>33003.412</v>
      </c>
    </row>
    <row r="6">
      <c r="A6" s="2" t="inlineStr">
        <is>
          <t>ส่วนของเจ้าของรวม</t>
        </is>
      </c>
      <c r="B6" t="n">
        <v>15675.937</v>
      </c>
      <c r="C6" t="n">
        <v>15954.945</v>
      </c>
      <c r="D6" t="n">
        <v>15819.261</v>
      </c>
      <c r="E6" t="n">
        <v>16238.608</v>
      </c>
      <c r="F6" t="n">
        <v>15881.858</v>
      </c>
      <c r="G6" t="n">
        <v>15549.686</v>
      </c>
      <c r="H6" t="n">
        <v>15997.386</v>
      </c>
      <c r="I6" t="n">
        <v>17083.078</v>
      </c>
      <c r="J6" t="n">
        <v>16019.169</v>
      </c>
      <c r="K6" t="n">
        <v>15973.516</v>
      </c>
      <c r="L6" t="n">
        <v>16580.939</v>
      </c>
      <c r="M6" t="n">
        <v>16834.999</v>
      </c>
      <c r="N6" t="n">
        <v>16091.047</v>
      </c>
      <c r="O6" t="n">
        <v>17091.248</v>
      </c>
      <c r="P6" t="n">
        <v>17119.998</v>
      </c>
      <c r="Q6" t="n">
        <v>15365.781</v>
      </c>
      <c r="R6" t="n">
        <v>15925.838</v>
      </c>
      <c r="S6" t="n">
        <v>16235.452</v>
      </c>
      <c r="T6" t="n">
        <v>15859.504</v>
      </c>
      <c r="U6" t="n">
        <v>15649.4</v>
      </c>
      <c r="V6" t="n">
        <v>13373.217</v>
      </c>
    </row>
    <row r="7">
      <c r="A7" s="2" t="inlineStr">
        <is>
          <t>หนี้สินรวม</t>
        </is>
      </c>
      <c r="B7" t="n">
        <v>11441.331</v>
      </c>
      <c r="C7" t="n">
        <v>20800.008</v>
      </c>
      <c r="D7" t="n">
        <v>21346.159</v>
      </c>
      <c r="E7" t="n">
        <v>22169.543</v>
      </c>
      <c r="F7" t="n">
        <v>21332.26</v>
      </c>
      <c r="G7" t="n">
        <v>20908.725</v>
      </c>
      <c r="H7" t="n">
        <v>21050.097</v>
      </c>
      <c r="I7" t="n">
        <v>21349.946</v>
      </c>
      <c r="J7" t="n">
        <v>20430.43</v>
      </c>
      <c r="K7" t="n">
        <v>20166.342</v>
      </c>
      <c r="L7" t="n">
        <v>21429.439</v>
      </c>
      <c r="M7" t="n">
        <v>21476.375</v>
      </c>
      <c r="N7" t="n">
        <v>21631.656</v>
      </c>
      <c r="O7" t="n">
        <v>22234.682</v>
      </c>
      <c r="P7" t="n">
        <v>21724.785</v>
      </c>
      <c r="Q7" t="n">
        <v>20030.709</v>
      </c>
      <c r="R7" t="n">
        <v>20399.521</v>
      </c>
      <c r="S7" t="n">
        <v>20377.346</v>
      </c>
      <c r="T7" t="n">
        <v>20075.035</v>
      </c>
      <c r="U7" t="n">
        <v>19760.516</v>
      </c>
      <c r="V7" t="n">
        <v>19630.194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5">
        <f>IS_Flow!B2</f>
        <v/>
      </c>
      <c r="C2" s="5">
        <f>IS_Flow!C2</f>
        <v/>
      </c>
      <c r="D2" s="5">
        <f>IS_Flow!D2</f>
        <v/>
      </c>
      <c r="E2" s="5">
        <f>IS_Flow!E2</f>
        <v/>
      </c>
      <c r="F2" s="5">
        <f>IS_Flow!G2</f>
        <v/>
      </c>
      <c r="G2" s="5">
        <f>IS_Flow!H2</f>
        <v/>
      </c>
      <c r="H2" s="5">
        <f>IS_Flow!I2</f>
        <v/>
      </c>
      <c r="I2" s="5">
        <f>IS_Flow!J2</f>
        <v/>
      </c>
      <c r="J2" s="5">
        <f>IS_Flow!L2</f>
        <v/>
      </c>
      <c r="K2" s="5">
        <f>IS_Flow!M2</f>
        <v/>
      </c>
      <c r="L2" s="5">
        <f>IS_Flow!N2</f>
        <v/>
      </c>
      <c r="M2" s="5">
        <f>IS_Flow!O2</f>
        <v/>
      </c>
      <c r="N2" s="5">
        <f>IS_Flow!Q2</f>
        <v/>
      </c>
      <c r="O2" s="5">
        <f>IS_Flow!R2</f>
        <v/>
      </c>
      <c r="P2" s="5">
        <f>IS_Flow!S2</f>
        <v/>
      </c>
      <c r="Q2" s="5">
        <f>IS_Flow!T2</f>
        <v/>
      </c>
      <c r="R2" s="5">
        <f>IS_Flow!V2</f>
        <v/>
      </c>
      <c r="S2" s="5">
        <f>IS_Flow!W2</f>
        <v/>
      </c>
      <c r="T2" s="5">
        <f>IS_Flow!X2</f>
        <v/>
      </c>
      <c r="U2" s="5">
        <f>IS_Flow!Y2</f>
        <v/>
      </c>
    </row>
    <row r="3">
      <c r="A3" s="2" t="inlineStr">
        <is>
          <t>ต้นทุนขาย (ล้านบาท)</t>
        </is>
      </c>
      <c r="B3" s="5">
        <f>IS_Flow!B4</f>
        <v/>
      </c>
      <c r="C3" s="5">
        <f>IS_Flow!C4</f>
        <v/>
      </c>
      <c r="D3" s="5">
        <f>IS_Flow!D4</f>
        <v/>
      </c>
      <c r="E3" s="5">
        <f>IS_Flow!E4</f>
        <v/>
      </c>
      <c r="F3" s="5">
        <f>IS_Flow!G4</f>
        <v/>
      </c>
      <c r="G3" s="5">
        <f>IS_Flow!H4</f>
        <v/>
      </c>
      <c r="H3" s="5">
        <f>IS_Flow!I4</f>
        <v/>
      </c>
      <c r="I3" s="5">
        <f>IS_Flow!J4</f>
        <v/>
      </c>
      <c r="J3" s="5">
        <f>IS_Flow!L4</f>
        <v/>
      </c>
      <c r="K3" s="5">
        <f>IS_Flow!M4</f>
        <v/>
      </c>
      <c r="L3" s="5">
        <f>IS_Flow!N4</f>
        <v/>
      </c>
      <c r="M3" s="5">
        <f>IS_Flow!O4</f>
        <v/>
      </c>
      <c r="N3" s="5">
        <f>IS_Flow!Q4</f>
        <v/>
      </c>
      <c r="O3" s="5">
        <f>IS_Flow!R4</f>
        <v/>
      </c>
      <c r="P3" s="5">
        <f>IS_Flow!S4</f>
        <v/>
      </c>
      <c r="Q3" s="5">
        <f>IS_Flow!T4</f>
        <v/>
      </c>
      <c r="R3" s="5">
        <f>IS_Flow!V4</f>
        <v/>
      </c>
      <c r="S3" s="5">
        <f>IS_Flow!W4</f>
        <v/>
      </c>
      <c r="T3" s="5">
        <f>IS_Flow!X4</f>
        <v/>
      </c>
      <c r="U3" s="5">
        <f>IS_Flow!Y4</f>
        <v/>
      </c>
    </row>
    <row r="4">
      <c r="A4" s="2" t="inlineStr">
        <is>
          <t>กำไรสุทธิ (ล้านบาท)</t>
        </is>
      </c>
      <c r="B4" s="5">
        <f>IS_Flow!B5</f>
        <v/>
      </c>
      <c r="C4" s="5">
        <f>IS_Flow!C5</f>
        <v/>
      </c>
      <c r="D4" s="5">
        <f>IS_Flow!D5</f>
        <v/>
      </c>
      <c r="E4" s="5">
        <f>IS_Flow!E5</f>
        <v/>
      </c>
      <c r="F4" s="5">
        <f>IS_Flow!G5</f>
        <v/>
      </c>
      <c r="G4" s="5">
        <f>IS_Flow!H5</f>
        <v/>
      </c>
      <c r="H4" s="5">
        <f>IS_Flow!I5</f>
        <v/>
      </c>
      <c r="I4" s="5">
        <f>IS_Flow!J5</f>
        <v/>
      </c>
      <c r="J4" s="5">
        <f>IS_Flow!L5</f>
        <v/>
      </c>
      <c r="K4" s="5">
        <f>IS_Flow!M5</f>
        <v/>
      </c>
      <c r="L4" s="5">
        <f>IS_Flow!N5</f>
        <v/>
      </c>
      <c r="M4" s="5">
        <f>IS_Flow!O5</f>
        <v/>
      </c>
      <c r="N4" s="5">
        <f>IS_Flow!Q5</f>
        <v/>
      </c>
      <c r="O4" s="5">
        <f>IS_Flow!R5</f>
        <v/>
      </c>
      <c r="P4" s="5">
        <f>IS_Flow!S5</f>
        <v/>
      </c>
      <c r="Q4" s="5">
        <f>IS_Flow!T5</f>
        <v/>
      </c>
      <c r="R4" s="5">
        <f>IS_Flow!V5</f>
        <v/>
      </c>
      <c r="S4" s="5">
        <f>IS_Flow!W5</f>
        <v/>
      </c>
      <c r="T4" s="5">
        <f>IS_Flow!X5</f>
        <v/>
      </c>
      <c r="U4" s="5">
        <f>IS_Flow!Y5</f>
        <v/>
      </c>
    </row>
    <row r="5">
      <c r="A5" s="2" t="inlineStr">
        <is>
          <t>NPM (%)</t>
        </is>
      </c>
      <c r="B5" s="6">
        <f>IFERROR(IS_Flow!B5/IS_Flow!B2,"")</f>
        <v/>
      </c>
      <c r="C5" s="6">
        <f>IFERROR(IS_Flow!C5/IS_Flow!C2,"")</f>
        <v/>
      </c>
      <c r="D5" s="6">
        <f>IFERROR(IS_Flow!D5/IS_Flow!D2,"")</f>
        <v/>
      </c>
      <c r="E5" s="6">
        <f>IFERROR(IS_Flow!E5/IS_Flow!E2,"")</f>
        <v/>
      </c>
      <c r="F5" s="6">
        <f>IFERROR(IS_Flow!G5/IS_Flow!G2,"")</f>
        <v/>
      </c>
      <c r="G5" s="6">
        <f>IFERROR(IS_Flow!H5/IS_Flow!H2,"")</f>
        <v/>
      </c>
      <c r="H5" s="6">
        <f>IFERROR(IS_Flow!I5/IS_Flow!I2,"")</f>
        <v/>
      </c>
      <c r="I5" s="6">
        <f>IFERROR(IS_Flow!J5/IS_Flow!J2,"")</f>
        <v/>
      </c>
      <c r="J5" s="6">
        <f>IFERROR(IS_Flow!L5/IS_Flow!L2,"")</f>
        <v/>
      </c>
      <c r="K5" s="6">
        <f>IFERROR(IS_Flow!M5/IS_Flow!M2,"")</f>
        <v/>
      </c>
      <c r="L5" s="6">
        <f>IFERROR(IS_Flow!N5/IS_Flow!N2,"")</f>
        <v/>
      </c>
      <c r="M5" s="6">
        <f>IFERROR(IS_Flow!O5/IS_Flow!O2,"")</f>
        <v/>
      </c>
      <c r="N5" s="6">
        <f>IFERROR(IS_Flow!Q5/IS_Flow!Q2,"")</f>
        <v/>
      </c>
      <c r="O5" s="6">
        <f>IFERROR(IS_Flow!R5/IS_Flow!R2,"")</f>
        <v/>
      </c>
      <c r="P5" s="6">
        <f>IFERROR(IS_Flow!S5/IS_Flow!S2,"")</f>
        <v/>
      </c>
      <c r="Q5" s="6">
        <f>IFERROR(IS_Flow!T5/IS_Flow!T2,"")</f>
        <v/>
      </c>
      <c r="R5" s="6">
        <f>IFERROR(IS_Flow!V5/IS_Flow!V2,"")</f>
        <v/>
      </c>
      <c r="S5" s="6">
        <f>IFERROR(IS_Flow!W5/IS_Flow!W2,"")</f>
        <v/>
      </c>
      <c r="T5" s="6">
        <f>IFERROR(IS_Flow!X5/IS_Flow!X2,"")</f>
        <v/>
      </c>
      <c r="U5" s="6">
        <f>IFERROR(IS_Flow!Y5/IS_Flow!Y2,"")</f>
        <v/>
      </c>
    </row>
    <row r="6">
      <c r="A6" s="2" t="inlineStr">
        <is>
          <t>Gross Margin (%)</t>
        </is>
      </c>
      <c r="B6" s="6">
        <f>IFERROR((IS_Flow!B2-IS_Flow!B3-IS_Flow!B4)/(IS_Flow!B2-IS_Flow!B3),"")</f>
        <v/>
      </c>
      <c r="C6" s="6">
        <f>IFERROR((IS_Flow!C2-IS_Flow!C3-IS_Flow!C4)/(IS_Flow!C2-IS_Flow!C3),"")</f>
        <v/>
      </c>
      <c r="D6" s="6">
        <f>IFERROR((IS_Flow!D2-IS_Flow!D3-IS_Flow!D4)/(IS_Flow!D2-IS_Flow!D3),"")</f>
        <v/>
      </c>
      <c r="E6" s="6">
        <f>IFERROR((IS_Flow!E2-IS_Flow!E3-IS_Flow!E4)/(IS_Flow!E2-IS_Flow!E3),"")</f>
        <v/>
      </c>
      <c r="F6" s="6">
        <f>IFERROR((IS_Flow!G2-IS_Flow!G3-IS_Flow!G4)/(IS_Flow!G2-IS_Flow!G3),"")</f>
        <v/>
      </c>
      <c r="G6" s="6">
        <f>IFERROR((IS_Flow!H2-IS_Flow!H3-IS_Flow!H4)/(IS_Flow!H2-IS_Flow!H3),"")</f>
        <v/>
      </c>
      <c r="H6" s="6">
        <f>IFERROR((IS_Flow!I2-IS_Flow!I3-IS_Flow!I4)/(IS_Flow!I2-IS_Flow!I3),"")</f>
        <v/>
      </c>
      <c r="I6" s="6">
        <f>IFERROR((IS_Flow!J2-IS_Flow!J3-IS_Flow!J4)/(IS_Flow!J2-IS_Flow!J3),"")</f>
        <v/>
      </c>
      <c r="J6" s="6">
        <f>IFERROR((IS_Flow!L2-IS_Flow!L3-IS_Flow!L4)/(IS_Flow!L2-IS_Flow!L3),"")</f>
        <v/>
      </c>
      <c r="K6" s="6">
        <f>IFERROR((IS_Flow!M2-IS_Flow!M3-IS_Flow!M4)/(IS_Flow!M2-IS_Flow!M3),"")</f>
        <v/>
      </c>
      <c r="L6" s="6">
        <f>IFERROR((IS_Flow!N2-IS_Flow!N3-IS_Flow!N4)/(IS_Flow!N2-IS_Flow!N3),"")</f>
        <v/>
      </c>
      <c r="M6" s="6">
        <f>IFERROR((IS_Flow!O2-IS_Flow!O3-IS_Flow!O4)/(IS_Flow!O2-IS_Flow!O3),"")</f>
        <v/>
      </c>
      <c r="N6" s="6">
        <f>IFERROR((IS_Flow!Q2-IS_Flow!Q3-IS_Flow!Q4)/(IS_Flow!Q2-IS_Flow!Q3),"")</f>
        <v/>
      </c>
      <c r="O6" s="6">
        <f>IFERROR((IS_Flow!R2-IS_Flow!R3-IS_Flow!R4)/(IS_Flow!R2-IS_Flow!R3),"")</f>
        <v/>
      </c>
      <c r="P6" s="6">
        <f>IFERROR((IS_Flow!S2-IS_Flow!S3-IS_Flow!S4)/(IS_Flow!S2-IS_Flow!S3),"")</f>
        <v/>
      </c>
      <c r="Q6" s="6">
        <f>IFERROR((IS_Flow!T2-IS_Flow!T3-IS_Flow!T4)/(IS_Flow!T2-IS_Flow!T3),"")</f>
        <v/>
      </c>
      <c r="R6" s="6">
        <f>IFERROR((IS_Flow!V2-IS_Flow!V3-IS_Flow!V4)/(IS_Flow!V2-IS_Flow!V3),"")</f>
        <v/>
      </c>
      <c r="S6" s="6">
        <f>IFERROR((IS_Flow!W2-IS_Flow!W3-IS_Flow!W4)/(IS_Flow!W2-IS_Flow!W3),"")</f>
        <v/>
      </c>
      <c r="T6" s="6">
        <f>IFERROR((IS_Flow!X2-IS_Flow!X3-IS_Flow!X4)/(IS_Flow!X2-IS_Flow!X3),"")</f>
        <v/>
      </c>
      <c r="U6" s="6">
        <f>IFERROR((IS_Flow!Y2-IS_Flow!Y3-IS_Flow!Y4)/(IS_Flow!Y2-IS_Flow!Y3),"")</f>
        <v/>
      </c>
    </row>
    <row r="7">
      <c r="A7" s="2" t="inlineStr">
        <is>
          <t>DSO (วัน)</t>
        </is>
      </c>
      <c r="B7" s="5">
        <f>IFERROR(((BS_Timeline!B2+BS_Timeline!C2)/2)/IS_Flow!B2*90,"")</f>
        <v/>
      </c>
      <c r="C7" s="5">
        <f>IFERROR(((BS_Timeline!C2+BS_Timeline!D2)/2)/IS_Flow!C2*91,"")</f>
        <v/>
      </c>
      <c r="D7" s="5">
        <f>IFERROR(((BS_Timeline!D2+BS_Timeline!E2)/2)/IS_Flow!D2*92,"")</f>
        <v/>
      </c>
      <c r="E7" s="5">
        <f>IFERROR(((BS_Timeline!E2+BS_Timeline!F2)/2)/IS_Flow!E2*92,"")</f>
        <v/>
      </c>
      <c r="F7" s="5">
        <f>IFERROR(((BS_Timeline!F2+BS_Timeline!G2)/2)/IS_Flow!G2*90,"")</f>
        <v/>
      </c>
      <c r="G7" s="5">
        <f>IFERROR(((BS_Timeline!G2+BS_Timeline!H2)/2)/IS_Flow!H2*91,"")</f>
        <v/>
      </c>
      <c r="H7" s="5">
        <f>IFERROR(((BS_Timeline!H2+BS_Timeline!I2)/2)/IS_Flow!I2*92,"")</f>
        <v/>
      </c>
      <c r="I7" s="5">
        <f>IFERROR(((BS_Timeline!I2+BS_Timeline!J2)/2)/IS_Flow!J2*92,"")</f>
        <v/>
      </c>
      <c r="J7" s="5">
        <f>IFERROR(((BS_Timeline!J2+BS_Timeline!K2)/2)/IS_Flow!L2*90,"")</f>
        <v/>
      </c>
      <c r="K7" s="5">
        <f>IFERROR(((BS_Timeline!K2+BS_Timeline!L2)/2)/IS_Flow!M2*91,"")</f>
        <v/>
      </c>
      <c r="L7" s="5">
        <f>IFERROR(((BS_Timeline!L2+BS_Timeline!M2)/2)/IS_Flow!N2*92,"")</f>
        <v/>
      </c>
      <c r="M7" s="5">
        <f>IFERROR(((BS_Timeline!M2+BS_Timeline!N2)/2)/IS_Flow!O2*92,"")</f>
        <v/>
      </c>
      <c r="N7" s="5">
        <f>IFERROR(((BS_Timeline!N2+BS_Timeline!O2)/2)/IS_Flow!Q2*90,"")</f>
        <v/>
      </c>
      <c r="O7" s="5">
        <f>IFERROR(((BS_Timeline!O2+BS_Timeline!P2)/2)/IS_Flow!R2*91,"")</f>
        <v/>
      </c>
      <c r="P7" s="5">
        <f>IFERROR(((BS_Timeline!P2+BS_Timeline!Q2)/2)/IS_Flow!S2*92,"")</f>
        <v/>
      </c>
      <c r="Q7" s="5">
        <f>IFERROR(((BS_Timeline!Q2+BS_Timeline!R2)/2)/IS_Flow!T2*92,"")</f>
        <v/>
      </c>
      <c r="R7" s="5">
        <f>IFERROR(((BS_Timeline!R2+BS_Timeline!S2)/2)/IS_Flow!V2*90,"")</f>
        <v/>
      </c>
      <c r="S7" s="5">
        <f>IFERROR(((BS_Timeline!S2+BS_Timeline!T2)/2)/IS_Flow!W2*91,"")</f>
        <v/>
      </c>
      <c r="T7" s="5">
        <f>IFERROR(((BS_Timeline!T2+BS_Timeline!U2)/2)/IS_Flow!X2*92,"")</f>
        <v/>
      </c>
      <c r="U7" s="5">
        <f>IFERROR(((BS_Timeline!U2+BS_Timeline!V2)/2)/IS_Flow!Y2*92,"")</f>
        <v/>
      </c>
    </row>
    <row r="8">
      <c r="A8" s="2" t="inlineStr">
        <is>
          <t>DIO (วัน)</t>
        </is>
      </c>
      <c r="B8" s="5">
        <f>IFERROR(((BS_Timeline!B3+BS_Timeline!C3)/2)/IS_Flow!B4*90,"")</f>
        <v/>
      </c>
      <c r="C8" s="5">
        <f>IFERROR(((BS_Timeline!C3+BS_Timeline!D3)/2)/IS_Flow!C4*91,"")</f>
        <v/>
      </c>
      <c r="D8" s="5">
        <f>IFERROR(((BS_Timeline!D3+BS_Timeline!E3)/2)/IS_Flow!D4*92,"")</f>
        <v/>
      </c>
      <c r="E8" s="5">
        <f>IFERROR(((BS_Timeline!E3+BS_Timeline!F3)/2)/IS_Flow!E4*92,"")</f>
        <v/>
      </c>
      <c r="F8" s="5">
        <f>IFERROR(((BS_Timeline!F3+BS_Timeline!G3)/2)/IS_Flow!G4*90,"")</f>
        <v/>
      </c>
      <c r="G8" s="5">
        <f>IFERROR(((BS_Timeline!G3+BS_Timeline!H3)/2)/IS_Flow!H4*91,"")</f>
        <v/>
      </c>
      <c r="H8" s="5">
        <f>IFERROR(((BS_Timeline!H3+BS_Timeline!I3)/2)/IS_Flow!I4*92,"")</f>
        <v/>
      </c>
      <c r="I8" s="5">
        <f>IFERROR(((BS_Timeline!I3+BS_Timeline!J3)/2)/IS_Flow!J4*92,"")</f>
        <v/>
      </c>
      <c r="J8" s="5">
        <f>IFERROR(((BS_Timeline!J3+BS_Timeline!K3)/2)/IS_Flow!L4*90,"")</f>
        <v/>
      </c>
      <c r="K8" s="5">
        <f>IFERROR(((BS_Timeline!K3+BS_Timeline!L3)/2)/IS_Flow!M4*91,"")</f>
        <v/>
      </c>
      <c r="L8" s="5">
        <f>IFERROR(((BS_Timeline!L3+BS_Timeline!M3)/2)/IS_Flow!N4*92,"")</f>
        <v/>
      </c>
      <c r="M8" s="5">
        <f>IFERROR(((BS_Timeline!M3+BS_Timeline!N3)/2)/IS_Flow!O4*92,"")</f>
        <v/>
      </c>
      <c r="N8" s="5">
        <f>IFERROR(((BS_Timeline!N3+BS_Timeline!O3)/2)/IS_Flow!Q4*90,"")</f>
        <v/>
      </c>
      <c r="O8" s="5">
        <f>IFERROR(((BS_Timeline!O3+BS_Timeline!P3)/2)/IS_Flow!R4*91,"")</f>
        <v/>
      </c>
      <c r="P8" s="5">
        <f>IFERROR(((BS_Timeline!P3+BS_Timeline!Q3)/2)/IS_Flow!S4*92,"")</f>
        <v/>
      </c>
      <c r="Q8" s="5">
        <f>IFERROR(((BS_Timeline!Q3+BS_Timeline!R3)/2)/IS_Flow!T4*92,"")</f>
        <v/>
      </c>
      <c r="R8" s="5">
        <f>IFERROR(((BS_Timeline!R3+BS_Timeline!S3)/2)/IS_Flow!V4*90,"")</f>
        <v/>
      </c>
      <c r="S8" s="5">
        <f>IFERROR(((BS_Timeline!S3+BS_Timeline!T3)/2)/IS_Flow!W4*91,"")</f>
        <v/>
      </c>
      <c r="T8" s="5">
        <f>IFERROR(((BS_Timeline!T3+BS_Timeline!U3)/2)/IS_Flow!X4*92,"")</f>
        <v/>
      </c>
      <c r="U8" s="5">
        <f>IFERROR(((BS_Timeline!U3+BS_Timeline!V3)/2)/IS_Flow!Y4*92,"")</f>
        <v/>
      </c>
    </row>
    <row r="9">
      <c r="A9" s="2" t="inlineStr">
        <is>
          <t>DPO (วัน)</t>
        </is>
      </c>
      <c r="B9" s="5">
        <f>IFERROR(((BS_Timeline!B4+BS_Timeline!C4)/2)/IS_Flow!B4*90,"")</f>
        <v/>
      </c>
      <c r="C9" s="5">
        <f>IFERROR(((BS_Timeline!C4+BS_Timeline!D4)/2)/IS_Flow!C4*91,"")</f>
        <v/>
      </c>
      <c r="D9" s="5">
        <f>IFERROR(((BS_Timeline!D4+BS_Timeline!E4)/2)/IS_Flow!D4*92,"")</f>
        <v/>
      </c>
      <c r="E9" s="5">
        <f>IFERROR(((BS_Timeline!E4+BS_Timeline!F4)/2)/IS_Flow!E4*92,"")</f>
        <v/>
      </c>
      <c r="F9" s="5">
        <f>IFERROR(((BS_Timeline!F4+BS_Timeline!G4)/2)/IS_Flow!G4*90,"")</f>
        <v/>
      </c>
      <c r="G9" s="5">
        <f>IFERROR(((BS_Timeline!G4+BS_Timeline!H4)/2)/IS_Flow!H4*91,"")</f>
        <v/>
      </c>
      <c r="H9" s="5">
        <f>IFERROR(((BS_Timeline!H4+BS_Timeline!I4)/2)/IS_Flow!I4*92,"")</f>
        <v/>
      </c>
      <c r="I9" s="5">
        <f>IFERROR(((BS_Timeline!I4+BS_Timeline!J4)/2)/IS_Flow!J4*92,"")</f>
        <v/>
      </c>
      <c r="J9" s="5">
        <f>IFERROR(((BS_Timeline!J4+BS_Timeline!K4)/2)/IS_Flow!L4*90,"")</f>
        <v/>
      </c>
      <c r="K9" s="5">
        <f>IFERROR(((BS_Timeline!K4+BS_Timeline!L4)/2)/IS_Flow!M4*91,"")</f>
        <v/>
      </c>
      <c r="L9" s="5">
        <f>IFERROR(((BS_Timeline!L4+BS_Timeline!M4)/2)/IS_Flow!N4*92,"")</f>
        <v/>
      </c>
      <c r="M9" s="5">
        <f>IFERROR(((BS_Timeline!M4+BS_Timeline!N4)/2)/IS_Flow!O4*92,"")</f>
        <v/>
      </c>
      <c r="N9" s="5">
        <f>IFERROR(((BS_Timeline!N4+BS_Timeline!O4)/2)/IS_Flow!Q4*90,"")</f>
        <v/>
      </c>
      <c r="O9" s="5">
        <f>IFERROR(((BS_Timeline!O4+BS_Timeline!P4)/2)/IS_Flow!R4*91,"")</f>
        <v/>
      </c>
      <c r="P9" s="5">
        <f>IFERROR(((BS_Timeline!P4+BS_Timeline!Q4)/2)/IS_Flow!S4*92,"")</f>
        <v/>
      </c>
      <c r="Q9" s="5">
        <f>IFERROR(((BS_Timeline!Q4+BS_Timeline!R4)/2)/IS_Flow!T4*92,"")</f>
        <v/>
      </c>
      <c r="R9" s="5">
        <f>IFERROR(((BS_Timeline!R4+BS_Timeline!S4)/2)/IS_Flow!V4*90,"")</f>
        <v/>
      </c>
      <c r="S9" s="5">
        <f>IFERROR(((BS_Timeline!S4+BS_Timeline!T4)/2)/IS_Flow!W4*91,"")</f>
        <v/>
      </c>
      <c r="T9" s="5">
        <f>IFERROR(((BS_Timeline!T4+BS_Timeline!U4)/2)/IS_Flow!X4*92,"")</f>
        <v/>
      </c>
      <c r="U9" s="5">
        <f>IFERROR(((BS_Timeline!U4+BS_Timeline!V4)/2)/IS_Flow!Y4*92,"")</f>
        <v/>
      </c>
    </row>
    <row r="10">
      <c r="A10" s="2" t="inlineStr">
        <is>
          <t>CCC (วัน)</t>
        </is>
      </c>
      <c r="B10" s="6">
        <f>IFERROR(B7+B8-B9,"")</f>
        <v/>
      </c>
      <c r="C10" s="6">
        <f>IFERROR(C7+C8-C9,"")</f>
        <v/>
      </c>
      <c r="D10" s="6">
        <f>IFERROR(D7+D8-D9,"")</f>
        <v/>
      </c>
      <c r="E10" s="6">
        <f>IFERROR(E7+E8-E9,"")</f>
        <v/>
      </c>
      <c r="F10" s="6">
        <f>IFERROR(F7+F8-F9,"")</f>
        <v/>
      </c>
      <c r="G10" s="6">
        <f>IFERROR(G7+G8-G9,"")</f>
        <v/>
      </c>
      <c r="H10" s="6">
        <f>IFERROR(H7+H8-H9,"")</f>
        <v/>
      </c>
      <c r="I10" s="6">
        <f>IFERROR(I7+I8-I9,"")</f>
        <v/>
      </c>
      <c r="J10" s="6">
        <f>IFERROR(J7+J8-J9,"")</f>
        <v/>
      </c>
      <c r="K10" s="6">
        <f>IFERROR(K7+K8-K9,"")</f>
        <v/>
      </c>
      <c r="L10" s="6">
        <f>IFERROR(L7+L8-L9,"")</f>
        <v/>
      </c>
      <c r="M10" s="6">
        <f>IFERROR(M7+M8-M9,"")</f>
        <v/>
      </c>
      <c r="N10" s="6">
        <f>IFERROR(N7+N8-N9,"")</f>
        <v/>
      </c>
      <c r="O10" s="6">
        <f>IFERROR(O7+O8-O9,"")</f>
        <v/>
      </c>
      <c r="P10" s="6">
        <f>IFERROR(P7+P8-P9,"")</f>
        <v/>
      </c>
      <c r="Q10" s="6">
        <f>IFERROR(Q7+Q8-Q9,"")</f>
        <v/>
      </c>
      <c r="R10" s="6">
        <f>IFERROR(R7+R8-R9,"")</f>
        <v/>
      </c>
      <c r="S10" s="6">
        <f>IFERROR(S7+S8-S9,"")</f>
        <v/>
      </c>
      <c r="T10" s="6">
        <f>IFERROR(T7+T8-T9,"")</f>
        <v/>
      </c>
      <c r="U10" s="6">
        <f>IFERROR(U7+U8-U9,"")</f>
        <v/>
      </c>
    </row>
    <row r="11">
      <c r="A11" s="2" t="inlineStr">
        <is>
          <t>ROA รายไตรมาส (%)</t>
        </is>
      </c>
      <c r="B11" s="6">
        <f>IFERROR(IS_Flow!B5/((BS_Timeline!B5+BS_Timeline!C5)/2),"")</f>
        <v/>
      </c>
      <c r="C11" s="6">
        <f>IFERROR(IS_Flow!C5/((BS_Timeline!C5+BS_Timeline!D5)/2),"")</f>
        <v/>
      </c>
      <c r="D11" s="6">
        <f>IFERROR(IS_Flow!D5/((BS_Timeline!D5+BS_Timeline!E5)/2),"")</f>
        <v/>
      </c>
      <c r="E11" s="6">
        <f>IFERROR(IS_Flow!E5/((BS_Timeline!E5+BS_Timeline!F5)/2),"")</f>
        <v/>
      </c>
      <c r="F11" s="6">
        <f>IFERROR(IS_Flow!G5/((BS_Timeline!F5+BS_Timeline!G5)/2),"")</f>
        <v/>
      </c>
      <c r="G11" s="6">
        <f>IFERROR(IS_Flow!H5/((BS_Timeline!G5+BS_Timeline!H5)/2),"")</f>
        <v/>
      </c>
      <c r="H11" s="6">
        <f>IFERROR(IS_Flow!I5/((BS_Timeline!H5+BS_Timeline!I5)/2),"")</f>
        <v/>
      </c>
      <c r="I11" s="6">
        <f>IFERROR(IS_Flow!J5/((BS_Timeline!I5+BS_Timeline!J5)/2),"")</f>
        <v/>
      </c>
      <c r="J11" s="6">
        <f>IFERROR(IS_Flow!L5/((BS_Timeline!J5+BS_Timeline!K5)/2),"")</f>
        <v/>
      </c>
      <c r="K11" s="6">
        <f>IFERROR(IS_Flow!M5/((BS_Timeline!K5+BS_Timeline!L5)/2),"")</f>
        <v/>
      </c>
      <c r="L11" s="6">
        <f>IFERROR(IS_Flow!N5/((BS_Timeline!L5+BS_Timeline!M5)/2),"")</f>
        <v/>
      </c>
      <c r="M11" s="6">
        <f>IFERROR(IS_Flow!O5/((BS_Timeline!M5+BS_Timeline!N5)/2),"")</f>
        <v/>
      </c>
      <c r="N11" s="6">
        <f>IFERROR(IS_Flow!Q5/((BS_Timeline!N5+BS_Timeline!O5)/2),"")</f>
        <v/>
      </c>
      <c r="O11" s="6">
        <f>IFERROR(IS_Flow!R5/((BS_Timeline!O5+BS_Timeline!P5)/2),"")</f>
        <v/>
      </c>
      <c r="P11" s="6">
        <f>IFERROR(IS_Flow!S5/((BS_Timeline!P5+BS_Timeline!Q5)/2),"")</f>
        <v/>
      </c>
      <c r="Q11" s="6">
        <f>IFERROR(IS_Flow!T5/((BS_Timeline!Q5+BS_Timeline!R5)/2),"")</f>
        <v/>
      </c>
      <c r="R11" s="6">
        <f>IFERROR(IS_Flow!V5/((BS_Timeline!R5+BS_Timeline!S5)/2),"")</f>
        <v/>
      </c>
      <c r="S11" s="6">
        <f>IFERROR(IS_Flow!W5/((BS_Timeline!S5+BS_Timeline!T5)/2),"")</f>
        <v/>
      </c>
      <c r="T11" s="6">
        <f>IFERROR(IS_Flow!X5/((BS_Timeline!T5+BS_Timeline!U5)/2),"")</f>
        <v/>
      </c>
      <c r="U11" s="6">
        <f>IFERROR(IS_Flow!Y5/((BS_Timeline!U5+BS_Timeline!V5)/2),"")</f>
        <v/>
      </c>
    </row>
    <row r="12">
      <c r="A12" s="2" t="inlineStr">
        <is>
          <t>ROE รายไตรมาส (%)</t>
        </is>
      </c>
      <c r="B12" s="5">
        <f>IFERROR(IS_Flow!B5/((BS_Timeline!B6+BS_Timeline!C6)/2),"")</f>
        <v/>
      </c>
      <c r="C12" s="5">
        <f>IFERROR(IS_Flow!C5/((BS_Timeline!C6+BS_Timeline!D6)/2),"")</f>
        <v/>
      </c>
      <c r="D12" s="5">
        <f>IFERROR(IS_Flow!D5/((BS_Timeline!D6+BS_Timeline!E6)/2),"")</f>
        <v/>
      </c>
      <c r="E12" s="5">
        <f>IFERROR(IS_Flow!E5/((BS_Timeline!E6+BS_Timeline!F6)/2),"")</f>
        <v/>
      </c>
      <c r="F12" s="5">
        <f>IFERROR(IS_Flow!G5/((BS_Timeline!F6+BS_Timeline!G6)/2),"")</f>
        <v/>
      </c>
      <c r="G12" s="5">
        <f>IFERROR(IS_Flow!H5/((BS_Timeline!G6+BS_Timeline!H6)/2),"")</f>
        <v/>
      </c>
      <c r="H12" s="5">
        <f>IFERROR(IS_Flow!I5/((BS_Timeline!H6+BS_Timeline!I6)/2),"")</f>
        <v/>
      </c>
      <c r="I12" s="5">
        <f>IFERROR(IS_Flow!J5/((BS_Timeline!I6+BS_Timeline!J6)/2),"")</f>
        <v/>
      </c>
      <c r="J12" s="5">
        <f>IFERROR(IS_Flow!L5/((BS_Timeline!J6+BS_Timeline!K6)/2),"")</f>
        <v/>
      </c>
      <c r="K12" s="5">
        <f>IFERROR(IS_Flow!M5/((BS_Timeline!K6+BS_Timeline!L6)/2),"")</f>
        <v/>
      </c>
      <c r="L12" s="5">
        <f>IFERROR(IS_Flow!N5/((BS_Timeline!L6+BS_Timeline!M6)/2),"")</f>
        <v/>
      </c>
      <c r="M12" s="5">
        <f>IFERROR(IS_Flow!O5/((BS_Timeline!M6+BS_Timeline!N6)/2),"")</f>
        <v/>
      </c>
      <c r="N12" s="5">
        <f>IFERROR(IS_Flow!Q5/((BS_Timeline!N6+BS_Timeline!O6)/2),"")</f>
        <v/>
      </c>
      <c r="O12" s="5">
        <f>IFERROR(IS_Flow!R5/((BS_Timeline!O6+BS_Timeline!P6)/2),"")</f>
        <v/>
      </c>
      <c r="P12" s="5">
        <f>IFERROR(IS_Flow!S5/((BS_Timeline!P6+BS_Timeline!Q6)/2),"")</f>
        <v/>
      </c>
      <c r="Q12" s="5">
        <f>IFERROR(IS_Flow!T5/((BS_Timeline!Q6+BS_Timeline!R6)/2),"")</f>
        <v/>
      </c>
      <c r="R12" s="5">
        <f>IFERROR(IS_Flow!V5/((BS_Timeline!R6+BS_Timeline!S6)/2),"")</f>
        <v/>
      </c>
      <c r="S12" s="5">
        <f>IFERROR(IS_Flow!W5/((BS_Timeline!S6+BS_Timeline!T6)/2),"")</f>
        <v/>
      </c>
      <c r="T12" s="5">
        <f>IFERROR(IS_Flow!X5/((BS_Timeline!T6+BS_Timeline!U6)/2),"")</f>
        <v/>
      </c>
      <c r="U12" s="5">
        <f>IFERROR(IS_Flow!Y5/((BS_Timeline!U6+BS_Timeline!V6)/2),"")</f>
        <v/>
      </c>
    </row>
    <row r="13">
      <c r="A13" s="2" t="inlineStr">
        <is>
          <t>D/E (เท่า)</t>
        </is>
      </c>
      <c r="B13" s="5">
        <f>IFERROR(BS_Timeline!C7/BS_Timeline!C6,"")</f>
        <v/>
      </c>
      <c r="C13" s="5">
        <f>IFERROR(BS_Timeline!D7/BS_Timeline!D6,"")</f>
        <v/>
      </c>
      <c r="D13" s="5">
        <f>IFERROR(BS_Timeline!E7/BS_Timeline!E6,"")</f>
        <v/>
      </c>
      <c r="E13" s="5">
        <f>IFERROR(BS_Timeline!F7/BS_Timeline!F6,"")</f>
        <v/>
      </c>
      <c r="F13" s="5">
        <f>IFERROR(BS_Timeline!G7/BS_Timeline!G6,"")</f>
        <v/>
      </c>
      <c r="G13" s="5">
        <f>IFERROR(BS_Timeline!H7/BS_Timeline!H6,"")</f>
        <v/>
      </c>
      <c r="H13" s="5">
        <f>IFERROR(BS_Timeline!I7/BS_Timeline!I6,"")</f>
        <v/>
      </c>
      <c r="I13" s="5">
        <f>IFERROR(BS_Timeline!J7/BS_Timeline!J6,"")</f>
        <v/>
      </c>
      <c r="J13" s="5">
        <f>IFERROR(BS_Timeline!K7/BS_Timeline!K6,"")</f>
        <v/>
      </c>
      <c r="K13" s="5">
        <f>IFERROR(BS_Timeline!L7/BS_Timeline!L6,"")</f>
        <v/>
      </c>
      <c r="L13" s="5">
        <f>IFERROR(BS_Timeline!M7/BS_Timeline!M6,"")</f>
        <v/>
      </c>
      <c r="M13" s="5">
        <f>IFERROR(BS_Timeline!N7/BS_Timeline!N6,"")</f>
        <v/>
      </c>
      <c r="N13" s="5">
        <f>IFERROR(BS_Timeline!O7/BS_Timeline!O6,"")</f>
        <v/>
      </c>
      <c r="O13" s="5">
        <f>IFERROR(BS_Timeline!P7/BS_Timeline!P6,"")</f>
        <v/>
      </c>
      <c r="P13" s="5">
        <f>IFERROR(BS_Timeline!Q7/BS_Timeline!Q6,"")</f>
        <v/>
      </c>
      <c r="Q13" s="5">
        <f>IFERROR(BS_Timeline!R7/BS_Timeline!R6,"")</f>
        <v/>
      </c>
      <c r="R13" s="5">
        <f>IFERROR(BS_Timeline!S7/BS_Timeline!S6,"")</f>
        <v/>
      </c>
      <c r="S13" s="5">
        <f>IFERROR(BS_Timeline!T7/BS_Timeline!T6,"")</f>
        <v/>
      </c>
      <c r="T13" s="5">
        <f>IFERROR(BS_Timeline!U7/BS_Timeline!U6,"")</f>
        <v/>
      </c>
      <c r="U13" s="5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SHR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Q1/2564, Q2/2564, Q3/2564, FY/2564, Q1/2565, Q2/2565, Q3/2565, FY/2565, Q1/2566, Q2/2566, Q3/2566, FY/2566, Q1/2567, Q2/2567, Q3/2567, FY/2567,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2026-07-24T05:59:43Z</dcterms:created>
  <dcterms:modified xmlns:dcterms="http://purl.org/dc/terms/" xmlns:xsi="http://www.w3.org/2001/XMLSchema-instance" xsi:type="dcterms:W3CDTF">2026-07-24T05:59:43Z</dcterms:modified>
</cp:coreProperties>
</file>