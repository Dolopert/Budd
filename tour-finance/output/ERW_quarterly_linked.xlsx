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390.059</v>
      </c>
      <c r="C2" t="n">
        <v>269.132</v>
      </c>
      <c r="D2" t="n">
        <v>253.762</v>
      </c>
      <c r="E2" s="3">
        <f>F2-B2-C2-D2</f>
        <v/>
      </c>
      <c r="F2" t="n">
        <v>1641.258</v>
      </c>
      <c r="G2" t="n">
        <v>646.0940000000001</v>
      </c>
      <c r="H2" t="n">
        <v>1006.085</v>
      </c>
      <c r="I2" t="n">
        <v>1289.39</v>
      </c>
      <c r="J2" s="3">
        <f>K2-G2-H2-I2</f>
        <v/>
      </c>
      <c r="K2" t="n">
        <v>4717.288</v>
      </c>
      <c r="L2" t="n">
        <v>1774.625</v>
      </c>
      <c r="M2" t="n">
        <v>1641.935</v>
      </c>
      <c r="N2" t="n">
        <v>1742.8</v>
      </c>
      <c r="O2" s="3">
        <f>P2-L2-M2-N2</f>
        <v/>
      </c>
      <c r="P2" t="n">
        <v>7046.29</v>
      </c>
      <c r="Q2" t="n">
        <v>2119.357</v>
      </c>
      <c r="R2" t="n">
        <v>1843.268</v>
      </c>
      <c r="S2" t="n">
        <v>1856.024</v>
      </c>
      <c r="T2" s="3">
        <f>U2-Q2-R2-S2</f>
        <v/>
      </c>
      <c r="U2" t="n">
        <v>8053.926</v>
      </c>
      <c r="V2" t="n">
        <v>2135.663</v>
      </c>
      <c r="W2" t="n">
        <v>1753.339</v>
      </c>
      <c r="X2" t="n">
        <v>1788.638</v>
      </c>
      <c r="Y2" s="3">
        <f>Z2-V2-W2-X2</f>
        <v/>
      </c>
      <c r="Z2" t="n">
        <v>7937.392</v>
      </c>
    </row>
    <row r="3">
      <c r="A3" s="2" t="inlineStr">
        <is>
          <t>รายได้อื่น</t>
        </is>
      </c>
      <c r="B3" t="n">
        <v>11.432</v>
      </c>
      <c r="C3" t="n">
        <v>23.294</v>
      </c>
      <c r="D3" t="n">
        <v>70.71899999999999</v>
      </c>
      <c r="E3" s="3">
        <f>F3-B3-C3-D3</f>
        <v/>
      </c>
      <c r="F3" t="n">
        <v>77.11799999999999</v>
      </c>
      <c r="G3" t="n">
        <v>7.275</v>
      </c>
      <c r="H3" t="n">
        <v>69.651</v>
      </c>
      <c r="I3" t="n">
        <v>49.647</v>
      </c>
      <c r="J3" s="3">
        <f>K3-G3-H3-I3</f>
        <v/>
      </c>
      <c r="K3" t="n">
        <v>86.023</v>
      </c>
      <c r="L3" t="n">
        <v>20.232</v>
      </c>
      <c r="M3" t="n">
        <v>52.552</v>
      </c>
      <c r="N3" t="n">
        <v>48.472</v>
      </c>
      <c r="O3" s="3">
        <f>P3-L3-M3-N3</f>
        <v/>
      </c>
      <c r="P3" t="n">
        <v>52.98</v>
      </c>
      <c r="Q3" t="n">
        <v>14.968</v>
      </c>
      <c r="R3" t="n">
        <v>28.872</v>
      </c>
      <c r="S3" t="n">
        <v>33.976</v>
      </c>
      <c r="T3" s="3">
        <f>U3-Q3-R3-S3</f>
        <v/>
      </c>
      <c r="U3" t="n">
        <v>45.19</v>
      </c>
      <c r="V3" t="n">
        <v>6.865</v>
      </c>
      <c r="W3" t="n">
        <v>7.545</v>
      </c>
      <c r="X3" t="n">
        <v>23.796</v>
      </c>
      <c r="Y3" s="3">
        <f>Z3-V3-W3-X3</f>
        <v/>
      </c>
      <c r="Z3" t="n">
        <v>25.178</v>
      </c>
    </row>
    <row r="4">
      <c r="A4" s="2" t="inlineStr">
        <is>
          <t>ต้นทุนขาย (จริง)</t>
        </is>
      </c>
      <c r="B4" t="n">
        <v>315.026</v>
      </c>
      <c r="C4" t="n">
        <v>284.888</v>
      </c>
      <c r="D4" t="n">
        <v>286.682</v>
      </c>
      <c r="E4" s="3">
        <f>F4-B4-C4-D4</f>
        <v/>
      </c>
      <c r="F4" t="n">
        <v>1284.16</v>
      </c>
      <c r="G4" t="n">
        <v>404.82</v>
      </c>
      <c r="H4" t="n">
        <v>519.9880000000001</v>
      </c>
      <c r="I4" t="n">
        <v>607.211</v>
      </c>
      <c r="J4" s="3">
        <f>K4-G4-H4-I4</f>
        <v/>
      </c>
      <c r="K4" t="n">
        <v>2282.152</v>
      </c>
      <c r="L4" t="n">
        <v>775.229</v>
      </c>
      <c r="M4" t="n">
        <v>726.693</v>
      </c>
      <c r="N4" t="n">
        <v>757.077</v>
      </c>
      <c r="O4" s="3">
        <f>P4-L4-M4-N4</f>
        <v/>
      </c>
      <c r="P4" t="n">
        <v>3034.518</v>
      </c>
      <c r="Q4" t="n">
        <v>793.662</v>
      </c>
      <c r="R4" t="n">
        <v>809.742</v>
      </c>
      <c r="S4" t="n">
        <v>812.235</v>
      </c>
      <c r="T4" s="3">
        <f>U4-Q4-R4-S4</f>
        <v/>
      </c>
      <c r="U4" t="n">
        <v>3275.985</v>
      </c>
      <c r="V4" t="n">
        <v>836.5890000000001</v>
      </c>
      <c r="W4" t="n">
        <v>792.994</v>
      </c>
      <c r="X4" t="n">
        <v>801.101</v>
      </c>
      <c r="Y4" s="3">
        <f>Z4-V4-W4-X4</f>
        <v/>
      </c>
      <c r="Z4" t="n">
        <v>3265.028</v>
      </c>
    </row>
    <row r="5">
      <c r="A5" s="2" t="inlineStr">
        <is>
          <t>กำไรสุทธิ (รวม)</t>
        </is>
      </c>
      <c r="B5" t="n">
        <v>-512.877</v>
      </c>
      <c r="C5" t="n">
        <v>-716.788</v>
      </c>
      <c r="D5" t="n">
        <v>-667.617</v>
      </c>
      <c r="E5" s="3">
        <f>F5-B5-C5-D5</f>
        <v/>
      </c>
      <c r="F5" t="n">
        <v>-2155.372</v>
      </c>
      <c r="G5" t="n">
        <v>-324.862</v>
      </c>
      <c r="H5" t="n">
        <v>-143.041</v>
      </c>
      <c r="I5" t="n">
        <v>-5.353</v>
      </c>
      <c r="J5" s="3">
        <f>K5-G5-H5-I5</f>
        <v/>
      </c>
      <c r="K5" t="n">
        <v>-213.062</v>
      </c>
      <c r="L5" t="n">
        <v>237.391</v>
      </c>
      <c r="M5" t="n">
        <v>143.879</v>
      </c>
      <c r="N5" t="n">
        <v>155.228</v>
      </c>
      <c r="O5" s="3">
        <f>P5-L5-M5-N5</f>
        <v/>
      </c>
      <c r="P5" t="n">
        <v>759.877</v>
      </c>
      <c r="Q5" t="n">
        <v>428.404</v>
      </c>
      <c r="R5" t="n">
        <v>365.506</v>
      </c>
      <c r="S5" t="n">
        <v>124.49</v>
      </c>
      <c r="T5" s="3">
        <f>U5-Q5-R5-S5</f>
        <v/>
      </c>
      <c r="U5" t="n">
        <v>1312.506</v>
      </c>
      <c r="V5" t="n">
        <v>362.736</v>
      </c>
      <c r="W5" t="n">
        <v>69.78</v>
      </c>
      <c r="X5" t="n">
        <v>59.797</v>
      </c>
      <c r="Y5" s="3">
        <f>Z5-V5-W5-X5</f>
        <v/>
      </c>
      <c r="Z5" t="n">
        <v>904.756</v>
      </c>
    </row>
    <row r="6">
      <c r="A6" s="2" t="inlineStr">
        <is>
          <t>กำไรสุทธิ (ส่วนแม่)</t>
        </is>
      </c>
      <c r="B6" s="4" t="n"/>
      <c r="C6" t="n">
        <v>-689.778</v>
      </c>
      <c r="D6" t="n">
        <v>-622.789</v>
      </c>
      <c r="E6" s="3">
        <f>F6-B6-C6-D6</f>
        <v/>
      </c>
      <c r="F6" s="4" t="n"/>
      <c r="G6" s="4" t="n"/>
      <c r="H6" t="n">
        <v>-139.108</v>
      </c>
      <c r="I6" t="n">
        <v>-11.52</v>
      </c>
      <c r="J6" s="3">
        <f>K6-G6-H6-I6</f>
        <v/>
      </c>
      <c r="K6" s="4" t="n"/>
      <c r="L6" s="4" t="n"/>
      <c r="M6" t="n">
        <v>141.969</v>
      </c>
      <c r="N6" t="n">
        <v>148.293</v>
      </c>
      <c r="O6" s="3">
        <f>P6-L6-M6-N6</f>
        <v/>
      </c>
      <c r="P6" s="4" t="n"/>
      <c r="Q6" s="4" t="n"/>
      <c r="R6" t="n">
        <v>361.434</v>
      </c>
      <c r="S6" t="n">
        <v>124.53</v>
      </c>
      <c r="T6" s="3">
        <f>U6-Q6-R6-S6</f>
        <v/>
      </c>
      <c r="U6" s="4" t="n"/>
      <c r="V6" s="4" t="n"/>
      <c r="W6" s="4" t="n"/>
      <c r="X6" t="n">
        <v>56.6</v>
      </c>
      <c r="Y6" s="3">
        <f>Z6-V6-W6-X6</f>
        <v/>
      </c>
      <c r="Z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76.587</v>
      </c>
      <c r="C2" t="n">
        <v>66.958</v>
      </c>
      <c r="D2" t="n">
        <v>47.166</v>
      </c>
      <c r="E2" t="n">
        <v>53.535</v>
      </c>
      <c r="F2" t="n">
        <v>99.854</v>
      </c>
      <c r="G2" t="n">
        <v>116.99</v>
      </c>
      <c r="H2" t="n">
        <v>115.151</v>
      </c>
      <c r="I2" t="n">
        <v>145.022</v>
      </c>
      <c r="J2" t="n">
        <v>159.805</v>
      </c>
      <c r="K2" t="n">
        <v>155.536</v>
      </c>
      <c r="L2" t="n">
        <v>129.797</v>
      </c>
      <c r="M2" t="n">
        <v>127.605</v>
      </c>
      <c r="N2" t="n">
        <v>169.827</v>
      </c>
      <c r="O2" t="n">
        <v>150.106</v>
      </c>
      <c r="P2" t="n">
        <v>143.792</v>
      </c>
      <c r="Q2" t="n">
        <v>139.711</v>
      </c>
      <c r="R2" t="n">
        <v>222.438</v>
      </c>
      <c r="S2" t="n">
        <v>160.189</v>
      </c>
      <c r="T2" t="n">
        <v>120.711</v>
      </c>
      <c r="U2" t="n">
        <v>155.074</v>
      </c>
      <c r="V2" t="n">
        <v>232.438</v>
      </c>
    </row>
    <row r="3">
      <c r="A3" s="2" t="inlineStr">
        <is>
          <t>สินค้าคงเหลือ</t>
        </is>
      </c>
      <c r="B3" t="n">
        <v>46.207</v>
      </c>
      <c r="C3" t="n">
        <v>40.275</v>
      </c>
      <c r="D3" t="n">
        <v>38.527</v>
      </c>
      <c r="E3" t="n">
        <v>37.071</v>
      </c>
      <c r="F3" t="n">
        <v>39.306</v>
      </c>
      <c r="G3" t="n">
        <v>35.258</v>
      </c>
      <c r="H3" t="n">
        <v>37.341</v>
      </c>
      <c r="I3" t="n">
        <v>38.492</v>
      </c>
      <c r="J3" t="n">
        <v>43.467</v>
      </c>
      <c r="K3" t="n">
        <v>37.421</v>
      </c>
      <c r="L3" t="n">
        <v>37.818</v>
      </c>
      <c r="M3" t="n">
        <v>41.197</v>
      </c>
      <c r="N3" t="n">
        <v>48.963</v>
      </c>
      <c r="O3" t="n">
        <v>42.976</v>
      </c>
      <c r="P3" t="n">
        <v>40.795</v>
      </c>
      <c r="Q3" t="n">
        <v>41.77</v>
      </c>
      <c r="R3" t="n">
        <v>42.817</v>
      </c>
      <c r="S3" t="n">
        <v>41.126</v>
      </c>
      <c r="T3" t="n">
        <v>39.848</v>
      </c>
      <c r="U3" t="n">
        <v>42.315</v>
      </c>
      <c r="V3" t="n">
        <v>40.396</v>
      </c>
    </row>
    <row r="4">
      <c r="A4" s="2" t="inlineStr">
        <is>
          <t>เจ้าหนี้การค้า</t>
        </is>
      </c>
      <c r="B4" t="n">
        <v>144.666</v>
      </c>
      <c r="C4" t="n">
        <v>103.802</v>
      </c>
      <c r="D4" t="n">
        <v>70.72799999999999</v>
      </c>
      <c r="E4" t="n">
        <v>70.03</v>
      </c>
      <c r="F4" t="n">
        <v>142.676</v>
      </c>
      <c r="G4" t="n">
        <v>106.87</v>
      </c>
      <c r="H4" t="n">
        <v>126.184</v>
      </c>
      <c r="I4" t="n">
        <v>142.653</v>
      </c>
      <c r="J4" t="n">
        <v>234.513</v>
      </c>
      <c r="K4" t="n">
        <v>173.704</v>
      </c>
      <c r="L4" t="n">
        <v>150.803</v>
      </c>
      <c r="M4" t="n">
        <v>180.31</v>
      </c>
      <c r="N4" t="n">
        <v>226.853</v>
      </c>
      <c r="O4" t="n">
        <v>209.768</v>
      </c>
      <c r="P4" t="n">
        <v>192.776</v>
      </c>
      <c r="Q4" t="n">
        <v>169.55</v>
      </c>
      <c r="R4" t="n">
        <v>266.009</v>
      </c>
      <c r="S4" t="n">
        <v>175.013</v>
      </c>
      <c r="T4" t="n">
        <v>154.434</v>
      </c>
      <c r="U4" t="n">
        <v>180.07</v>
      </c>
      <c r="V4" t="n">
        <v>257.323</v>
      </c>
    </row>
    <row r="5">
      <c r="A5" s="2" t="inlineStr">
        <is>
          <t>สินทรัพย์รวม</t>
        </is>
      </c>
      <c r="B5" t="n">
        <v>21214.717</v>
      </c>
      <c r="C5" t="n">
        <v>21048.98</v>
      </c>
      <c r="D5" t="n">
        <v>23603.712</v>
      </c>
      <c r="E5" t="n">
        <v>23296.713</v>
      </c>
      <c r="F5" t="n">
        <v>22450.213</v>
      </c>
      <c r="G5" t="n">
        <v>22388.076</v>
      </c>
      <c r="H5" t="n">
        <v>21250.682</v>
      </c>
      <c r="I5" t="n">
        <v>21433.702</v>
      </c>
      <c r="J5" t="n">
        <v>21711.812</v>
      </c>
      <c r="K5" t="n">
        <v>21482.14</v>
      </c>
      <c r="L5" t="n">
        <v>21552.764</v>
      </c>
      <c r="M5" t="n">
        <v>23814.068</v>
      </c>
      <c r="N5" t="n">
        <v>23674.931</v>
      </c>
      <c r="O5" t="n">
        <v>23907.039</v>
      </c>
      <c r="P5" t="n">
        <v>25567.646</v>
      </c>
      <c r="Q5" t="n">
        <v>24928.592</v>
      </c>
      <c r="R5" t="n">
        <v>26246.078</v>
      </c>
      <c r="S5" t="n">
        <v>25917.3</v>
      </c>
      <c r="T5" t="n">
        <v>25764.928</v>
      </c>
      <c r="U5" t="n">
        <v>25461.134</v>
      </c>
      <c r="V5" t="n">
        <v>26459.926</v>
      </c>
    </row>
    <row r="6">
      <c r="A6" s="2" t="inlineStr">
        <is>
          <t>ส่วนของเจ้าของรวม</t>
        </is>
      </c>
      <c r="B6" t="n">
        <v>3928.559</v>
      </c>
      <c r="C6" t="n">
        <v>3439.943</v>
      </c>
      <c r="D6" t="n">
        <v>6959.668</v>
      </c>
      <c r="E6" t="n">
        <v>6309.161</v>
      </c>
      <c r="F6" t="n">
        <v>6022.719</v>
      </c>
      <c r="G6" t="n">
        <v>5657.401</v>
      </c>
      <c r="H6" t="n">
        <v>5551.743</v>
      </c>
      <c r="I6" t="n">
        <v>5566.029</v>
      </c>
      <c r="J6" t="n">
        <v>5721.626</v>
      </c>
      <c r="K6" t="n">
        <v>5980.403</v>
      </c>
      <c r="L6" t="n">
        <v>6166.695</v>
      </c>
      <c r="M6" t="n">
        <v>6277.706</v>
      </c>
      <c r="N6" t="n">
        <v>6369.945</v>
      </c>
      <c r="O6" t="n">
        <v>6831.886</v>
      </c>
      <c r="P6" t="n">
        <v>7860.623</v>
      </c>
      <c r="Q6" t="n">
        <v>7834.106</v>
      </c>
      <c r="R6" t="n">
        <v>9491.813</v>
      </c>
      <c r="S6" t="n">
        <v>9919.18</v>
      </c>
      <c r="T6" t="n">
        <v>9508.700000000001</v>
      </c>
      <c r="U6" t="n">
        <v>9481.111999999999</v>
      </c>
      <c r="V6" t="n">
        <v>9787.165000000001</v>
      </c>
    </row>
    <row r="7">
      <c r="A7" s="2" t="inlineStr">
        <is>
          <t>หนี้สินรวม</t>
        </is>
      </c>
      <c r="B7" t="n">
        <v>17286.158</v>
      </c>
      <c r="C7" t="n">
        <v>17609.037</v>
      </c>
      <c r="D7" t="n">
        <v>16644.044</v>
      </c>
      <c r="E7" t="n">
        <v>16987.552</v>
      </c>
      <c r="F7" t="n">
        <v>16427.494</v>
      </c>
      <c r="G7" t="n">
        <v>16730.675</v>
      </c>
      <c r="H7" t="n">
        <v>15698.939</v>
      </c>
      <c r="I7" t="n">
        <v>15867.673</v>
      </c>
      <c r="J7" t="n">
        <v>15990.185</v>
      </c>
      <c r="K7" t="n">
        <v>15501.737</v>
      </c>
      <c r="L7" t="n">
        <v>15386.069</v>
      </c>
      <c r="M7" t="n">
        <v>17536.362</v>
      </c>
      <c r="N7" t="n">
        <v>17304.986</v>
      </c>
      <c r="O7" t="n">
        <v>17075.153</v>
      </c>
      <c r="P7" t="n">
        <v>17707.023</v>
      </c>
      <c r="Q7" t="n">
        <v>17094.486</v>
      </c>
      <c r="R7" t="n">
        <v>16754.265</v>
      </c>
      <c r="S7" t="n">
        <v>15998.12</v>
      </c>
      <c r="T7" t="n">
        <v>16256.228</v>
      </c>
      <c r="U7" t="n">
        <v>15980.022</v>
      </c>
      <c r="V7" t="n">
        <v>16672.762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5">
        <f>IS_Flow!B2</f>
        <v/>
      </c>
      <c r="C2" s="5">
        <f>IS_Flow!C2</f>
        <v/>
      </c>
      <c r="D2" s="5">
        <f>IS_Flow!D2</f>
        <v/>
      </c>
      <c r="E2" s="5">
        <f>IS_Flow!E2</f>
        <v/>
      </c>
      <c r="F2" s="5">
        <f>IS_Flow!G2</f>
        <v/>
      </c>
      <c r="G2" s="5">
        <f>IS_Flow!H2</f>
        <v/>
      </c>
      <c r="H2" s="5">
        <f>IS_Flow!I2</f>
        <v/>
      </c>
      <c r="I2" s="5">
        <f>IS_Flow!J2</f>
        <v/>
      </c>
      <c r="J2" s="5">
        <f>IS_Flow!L2</f>
        <v/>
      </c>
      <c r="K2" s="5">
        <f>IS_Flow!M2</f>
        <v/>
      </c>
      <c r="L2" s="5">
        <f>IS_Flow!N2</f>
        <v/>
      </c>
      <c r="M2" s="5">
        <f>IS_Flow!O2</f>
        <v/>
      </c>
      <c r="N2" s="5">
        <f>IS_Flow!Q2</f>
        <v/>
      </c>
      <c r="O2" s="5">
        <f>IS_Flow!R2</f>
        <v/>
      </c>
      <c r="P2" s="5">
        <f>IS_Flow!S2</f>
        <v/>
      </c>
      <c r="Q2" s="5">
        <f>IS_Flow!T2</f>
        <v/>
      </c>
      <c r="R2" s="5">
        <f>IS_Flow!V2</f>
        <v/>
      </c>
      <c r="S2" s="5">
        <f>IS_Flow!W2</f>
        <v/>
      </c>
      <c r="T2" s="5">
        <f>IS_Flow!X2</f>
        <v/>
      </c>
      <c r="U2" s="5">
        <f>IS_Flow!Y2</f>
        <v/>
      </c>
    </row>
    <row r="3">
      <c r="A3" s="2" t="inlineStr">
        <is>
          <t>ต้นทุนขาย (ล้านบาท)</t>
        </is>
      </c>
      <c r="B3" s="5">
        <f>IS_Flow!B4</f>
        <v/>
      </c>
      <c r="C3" s="5">
        <f>IS_Flow!C4</f>
        <v/>
      </c>
      <c r="D3" s="5">
        <f>IS_Flow!D4</f>
        <v/>
      </c>
      <c r="E3" s="5">
        <f>IS_Flow!E4</f>
        <v/>
      </c>
      <c r="F3" s="5">
        <f>IS_Flow!G4</f>
        <v/>
      </c>
      <c r="G3" s="5">
        <f>IS_Flow!H4</f>
        <v/>
      </c>
      <c r="H3" s="5">
        <f>IS_Flow!I4</f>
        <v/>
      </c>
      <c r="I3" s="5">
        <f>IS_Flow!J4</f>
        <v/>
      </c>
      <c r="J3" s="5">
        <f>IS_Flow!L4</f>
        <v/>
      </c>
      <c r="K3" s="5">
        <f>IS_Flow!M4</f>
        <v/>
      </c>
      <c r="L3" s="5">
        <f>IS_Flow!N4</f>
        <v/>
      </c>
      <c r="M3" s="5">
        <f>IS_Flow!O4</f>
        <v/>
      </c>
      <c r="N3" s="5">
        <f>IS_Flow!Q4</f>
        <v/>
      </c>
      <c r="O3" s="5">
        <f>IS_Flow!R4</f>
        <v/>
      </c>
      <c r="P3" s="5">
        <f>IS_Flow!S4</f>
        <v/>
      </c>
      <c r="Q3" s="5">
        <f>IS_Flow!T4</f>
        <v/>
      </c>
      <c r="R3" s="5">
        <f>IS_Flow!V4</f>
        <v/>
      </c>
      <c r="S3" s="5">
        <f>IS_Flow!W4</f>
        <v/>
      </c>
      <c r="T3" s="5">
        <f>IS_Flow!X4</f>
        <v/>
      </c>
      <c r="U3" s="5">
        <f>IS_Flow!Y4</f>
        <v/>
      </c>
    </row>
    <row r="4">
      <c r="A4" s="2" t="inlineStr">
        <is>
          <t>กำไรสุทธิ (ล้านบาท)</t>
        </is>
      </c>
      <c r="B4" s="5">
        <f>IS_Flow!B5</f>
        <v/>
      </c>
      <c r="C4" s="5">
        <f>IS_Flow!C5</f>
        <v/>
      </c>
      <c r="D4" s="5">
        <f>IS_Flow!D5</f>
        <v/>
      </c>
      <c r="E4" s="5">
        <f>IS_Flow!E5</f>
        <v/>
      </c>
      <c r="F4" s="5">
        <f>IS_Flow!G5</f>
        <v/>
      </c>
      <c r="G4" s="5">
        <f>IS_Flow!H5</f>
        <v/>
      </c>
      <c r="H4" s="5">
        <f>IS_Flow!I5</f>
        <v/>
      </c>
      <c r="I4" s="5">
        <f>IS_Flow!J5</f>
        <v/>
      </c>
      <c r="J4" s="5">
        <f>IS_Flow!L5</f>
        <v/>
      </c>
      <c r="K4" s="5">
        <f>IS_Flow!M5</f>
        <v/>
      </c>
      <c r="L4" s="5">
        <f>IS_Flow!N5</f>
        <v/>
      </c>
      <c r="M4" s="5">
        <f>IS_Flow!O5</f>
        <v/>
      </c>
      <c r="N4" s="5">
        <f>IS_Flow!Q5</f>
        <v/>
      </c>
      <c r="O4" s="5">
        <f>IS_Flow!R5</f>
        <v/>
      </c>
      <c r="P4" s="5">
        <f>IS_Flow!S5</f>
        <v/>
      </c>
      <c r="Q4" s="5">
        <f>IS_Flow!T5</f>
        <v/>
      </c>
      <c r="R4" s="5">
        <f>IS_Flow!V5</f>
        <v/>
      </c>
      <c r="S4" s="5">
        <f>IS_Flow!W5</f>
        <v/>
      </c>
      <c r="T4" s="5">
        <f>IS_Flow!X5</f>
        <v/>
      </c>
      <c r="U4" s="5">
        <f>IS_Flow!Y5</f>
        <v/>
      </c>
    </row>
    <row r="5">
      <c r="A5" s="2" t="inlineStr">
        <is>
          <t>NPM (%)</t>
        </is>
      </c>
      <c r="B5" s="6">
        <f>IFERROR(IS_Flow!B5/IS_Flow!B2,"")</f>
        <v/>
      </c>
      <c r="C5" s="6">
        <f>IFERROR(IS_Flow!C5/IS_Flow!C2,"")</f>
        <v/>
      </c>
      <c r="D5" s="6">
        <f>IFERROR(IS_Flow!D5/IS_Flow!D2,"")</f>
        <v/>
      </c>
      <c r="E5" s="6">
        <f>IFERROR(IS_Flow!E5/IS_Flow!E2,"")</f>
        <v/>
      </c>
      <c r="F5" s="6">
        <f>IFERROR(IS_Flow!G5/IS_Flow!G2,"")</f>
        <v/>
      </c>
      <c r="G5" s="6">
        <f>IFERROR(IS_Flow!H5/IS_Flow!H2,"")</f>
        <v/>
      </c>
      <c r="H5" s="6">
        <f>IFERROR(IS_Flow!I5/IS_Flow!I2,"")</f>
        <v/>
      </c>
      <c r="I5" s="6">
        <f>IFERROR(IS_Flow!J5/IS_Flow!J2,"")</f>
        <v/>
      </c>
      <c r="J5" s="6">
        <f>IFERROR(IS_Flow!L5/IS_Flow!L2,"")</f>
        <v/>
      </c>
      <c r="K5" s="6">
        <f>IFERROR(IS_Flow!M5/IS_Flow!M2,"")</f>
        <v/>
      </c>
      <c r="L5" s="6">
        <f>IFERROR(IS_Flow!N5/IS_Flow!N2,"")</f>
        <v/>
      </c>
      <c r="M5" s="6">
        <f>IFERROR(IS_Flow!O5/IS_Flow!O2,"")</f>
        <v/>
      </c>
      <c r="N5" s="6">
        <f>IFERROR(IS_Flow!Q5/IS_Flow!Q2,"")</f>
        <v/>
      </c>
      <c r="O5" s="6">
        <f>IFERROR(IS_Flow!R5/IS_Flow!R2,"")</f>
        <v/>
      </c>
      <c r="P5" s="6">
        <f>IFERROR(IS_Flow!S5/IS_Flow!S2,"")</f>
        <v/>
      </c>
      <c r="Q5" s="6">
        <f>IFERROR(IS_Flow!T5/IS_Flow!T2,"")</f>
        <v/>
      </c>
      <c r="R5" s="6">
        <f>IFERROR(IS_Flow!V5/IS_Flow!V2,"")</f>
        <v/>
      </c>
      <c r="S5" s="6">
        <f>IFERROR(IS_Flow!W5/IS_Flow!W2,"")</f>
        <v/>
      </c>
      <c r="T5" s="6">
        <f>IFERROR(IS_Flow!X5/IS_Flow!X2,"")</f>
        <v/>
      </c>
      <c r="U5" s="6">
        <f>IFERROR(IS_Flow!Y5/IS_Flow!Y2,"")</f>
        <v/>
      </c>
    </row>
    <row r="6">
      <c r="A6" s="2" t="inlineStr">
        <is>
          <t>Gross Margin (%)</t>
        </is>
      </c>
      <c r="B6" s="6">
        <f>IFERROR((IS_Flow!B2-IS_Flow!B3-IS_Flow!B4)/(IS_Flow!B2-IS_Flow!B3),"")</f>
        <v/>
      </c>
      <c r="C6" s="6">
        <f>IFERROR((IS_Flow!C2-IS_Flow!C3-IS_Flow!C4)/(IS_Flow!C2-IS_Flow!C3),"")</f>
        <v/>
      </c>
      <c r="D6" s="6">
        <f>IFERROR((IS_Flow!D2-IS_Flow!D3-IS_Flow!D4)/(IS_Flow!D2-IS_Flow!D3),"")</f>
        <v/>
      </c>
      <c r="E6" s="6">
        <f>IFERROR((IS_Flow!E2-IS_Flow!E3-IS_Flow!E4)/(IS_Flow!E2-IS_Flow!E3),"")</f>
        <v/>
      </c>
      <c r="F6" s="6">
        <f>IFERROR((IS_Flow!G2-IS_Flow!G3-IS_Flow!G4)/(IS_Flow!G2-IS_Flow!G3),"")</f>
        <v/>
      </c>
      <c r="G6" s="6">
        <f>IFERROR((IS_Flow!H2-IS_Flow!H3-IS_Flow!H4)/(IS_Flow!H2-IS_Flow!H3),"")</f>
        <v/>
      </c>
      <c r="H6" s="6">
        <f>IFERROR((IS_Flow!I2-IS_Flow!I3-IS_Flow!I4)/(IS_Flow!I2-IS_Flow!I3),"")</f>
        <v/>
      </c>
      <c r="I6" s="6">
        <f>IFERROR((IS_Flow!J2-IS_Flow!J3-IS_Flow!J4)/(IS_Flow!J2-IS_Flow!J3),"")</f>
        <v/>
      </c>
      <c r="J6" s="6">
        <f>IFERROR((IS_Flow!L2-IS_Flow!L3-IS_Flow!L4)/(IS_Flow!L2-IS_Flow!L3),"")</f>
        <v/>
      </c>
      <c r="K6" s="6">
        <f>IFERROR((IS_Flow!M2-IS_Flow!M3-IS_Flow!M4)/(IS_Flow!M2-IS_Flow!M3),"")</f>
        <v/>
      </c>
      <c r="L6" s="6">
        <f>IFERROR((IS_Flow!N2-IS_Flow!N3-IS_Flow!N4)/(IS_Flow!N2-IS_Flow!N3),"")</f>
        <v/>
      </c>
      <c r="M6" s="6">
        <f>IFERROR((IS_Flow!O2-IS_Flow!O3-IS_Flow!O4)/(IS_Flow!O2-IS_Flow!O3),"")</f>
        <v/>
      </c>
      <c r="N6" s="6">
        <f>IFERROR((IS_Flow!Q2-IS_Flow!Q3-IS_Flow!Q4)/(IS_Flow!Q2-IS_Flow!Q3),"")</f>
        <v/>
      </c>
      <c r="O6" s="6">
        <f>IFERROR((IS_Flow!R2-IS_Flow!R3-IS_Flow!R4)/(IS_Flow!R2-IS_Flow!R3),"")</f>
        <v/>
      </c>
      <c r="P6" s="6">
        <f>IFERROR((IS_Flow!S2-IS_Flow!S3-IS_Flow!S4)/(IS_Flow!S2-IS_Flow!S3),"")</f>
        <v/>
      </c>
      <c r="Q6" s="6">
        <f>IFERROR((IS_Flow!T2-IS_Flow!T3-IS_Flow!T4)/(IS_Flow!T2-IS_Flow!T3),"")</f>
        <v/>
      </c>
      <c r="R6" s="6">
        <f>IFERROR((IS_Flow!V2-IS_Flow!V3-IS_Flow!V4)/(IS_Flow!V2-IS_Flow!V3),"")</f>
        <v/>
      </c>
      <c r="S6" s="6">
        <f>IFERROR((IS_Flow!W2-IS_Flow!W3-IS_Flow!W4)/(IS_Flow!W2-IS_Flow!W3),"")</f>
        <v/>
      </c>
      <c r="T6" s="6">
        <f>IFERROR((IS_Flow!X2-IS_Flow!X3-IS_Flow!X4)/(IS_Flow!X2-IS_Flow!X3),"")</f>
        <v/>
      </c>
      <c r="U6" s="6">
        <f>IFERROR((IS_Flow!Y2-IS_Flow!Y3-IS_Flow!Y4)/(IS_Flow!Y2-IS_Flow!Y3),"")</f>
        <v/>
      </c>
    </row>
    <row r="7">
      <c r="A7" s="2" t="inlineStr">
        <is>
          <t>DSO (วัน)</t>
        </is>
      </c>
      <c r="B7" s="5">
        <f>IFERROR(((BS_Timeline!B2+BS_Timeline!C2)/2)/IS_Flow!B2*90,"")</f>
        <v/>
      </c>
      <c r="C7" s="5">
        <f>IFERROR(((BS_Timeline!C2+BS_Timeline!D2)/2)/IS_Flow!C2*91,"")</f>
        <v/>
      </c>
      <c r="D7" s="5">
        <f>IFERROR(((BS_Timeline!D2+BS_Timeline!E2)/2)/IS_Flow!D2*92,"")</f>
        <v/>
      </c>
      <c r="E7" s="5">
        <f>IFERROR(((BS_Timeline!E2+BS_Timeline!F2)/2)/IS_Flow!E2*92,"")</f>
        <v/>
      </c>
      <c r="F7" s="5">
        <f>IFERROR(((BS_Timeline!F2+BS_Timeline!G2)/2)/IS_Flow!G2*90,"")</f>
        <v/>
      </c>
      <c r="G7" s="5">
        <f>IFERROR(((BS_Timeline!G2+BS_Timeline!H2)/2)/IS_Flow!H2*91,"")</f>
        <v/>
      </c>
      <c r="H7" s="5">
        <f>IFERROR(((BS_Timeline!H2+BS_Timeline!I2)/2)/IS_Flow!I2*92,"")</f>
        <v/>
      </c>
      <c r="I7" s="5">
        <f>IFERROR(((BS_Timeline!I2+BS_Timeline!J2)/2)/IS_Flow!J2*92,"")</f>
        <v/>
      </c>
      <c r="J7" s="5">
        <f>IFERROR(((BS_Timeline!J2+BS_Timeline!K2)/2)/IS_Flow!L2*90,"")</f>
        <v/>
      </c>
      <c r="K7" s="5">
        <f>IFERROR(((BS_Timeline!K2+BS_Timeline!L2)/2)/IS_Flow!M2*91,"")</f>
        <v/>
      </c>
      <c r="L7" s="5">
        <f>IFERROR(((BS_Timeline!L2+BS_Timeline!M2)/2)/IS_Flow!N2*92,"")</f>
        <v/>
      </c>
      <c r="M7" s="5">
        <f>IFERROR(((BS_Timeline!M2+BS_Timeline!N2)/2)/IS_Flow!O2*92,"")</f>
        <v/>
      </c>
      <c r="N7" s="5">
        <f>IFERROR(((BS_Timeline!N2+BS_Timeline!O2)/2)/IS_Flow!Q2*90,"")</f>
        <v/>
      </c>
      <c r="O7" s="5">
        <f>IFERROR(((BS_Timeline!O2+BS_Timeline!P2)/2)/IS_Flow!R2*91,"")</f>
        <v/>
      </c>
      <c r="P7" s="5">
        <f>IFERROR(((BS_Timeline!P2+BS_Timeline!Q2)/2)/IS_Flow!S2*92,"")</f>
        <v/>
      </c>
      <c r="Q7" s="5">
        <f>IFERROR(((BS_Timeline!Q2+BS_Timeline!R2)/2)/IS_Flow!T2*92,"")</f>
        <v/>
      </c>
      <c r="R7" s="5">
        <f>IFERROR(((BS_Timeline!R2+BS_Timeline!S2)/2)/IS_Flow!V2*90,"")</f>
        <v/>
      </c>
      <c r="S7" s="5">
        <f>IFERROR(((BS_Timeline!S2+BS_Timeline!T2)/2)/IS_Flow!W2*91,"")</f>
        <v/>
      </c>
      <c r="T7" s="5">
        <f>IFERROR(((BS_Timeline!T2+BS_Timeline!U2)/2)/IS_Flow!X2*92,"")</f>
        <v/>
      </c>
      <c r="U7" s="5">
        <f>IFERROR(((BS_Timeline!U2+BS_Timeline!V2)/2)/IS_Flow!Y2*92,"")</f>
        <v/>
      </c>
    </row>
    <row r="8">
      <c r="A8" s="2" t="inlineStr">
        <is>
          <t>DIO (วัน)</t>
        </is>
      </c>
      <c r="B8" s="5">
        <f>IFERROR(((BS_Timeline!B3+BS_Timeline!C3)/2)/IS_Flow!B4*90,"")</f>
        <v/>
      </c>
      <c r="C8" s="5">
        <f>IFERROR(((BS_Timeline!C3+BS_Timeline!D3)/2)/IS_Flow!C4*91,"")</f>
        <v/>
      </c>
      <c r="D8" s="5">
        <f>IFERROR(((BS_Timeline!D3+BS_Timeline!E3)/2)/IS_Flow!D4*92,"")</f>
        <v/>
      </c>
      <c r="E8" s="5">
        <f>IFERROR(((BS_Timeline!E3+BS_Timeline!F3)/2)/IS_Flow!E4*92,"")</f>
        <v/>
      </c>
      <c r="F8" s="5">
        <f>IFERROR(((BS_Timeline!F3+BS_Timeline!G3)/2)/IS_Flow!G4*90,"")</f>
        <v/>
      </c>
      <c r="G8" s="5">
        <f>IFERROR(((BS_Timeline!G3+BS_Timeline!H3)/2)/IS_Flow!H4*91,"")</f>
        <v/>
      </c>
      <c r="H8" s="5">
        <f>IFERROR(((BS_Timeline!H3+BS_Timeline!I3)/2)/IS_Flow!I4*92,"")</f>
        <v/>
      </c>
      <c r="I8" s="5">
        <f>IFERROR(((BS_Timeline!I3+BS_Timeline!J3)/2)/IS_Flow!J4*92,"")</f>
        <v/>
      </c>
      <c r="J8" s="5">
        <f>IFERROR(((BS_Timeline!J3+BS_Timeline!K3)/2)/IS_Flow!L4*90,"")</f>
        <v/>
      </c>
      <c r="K8" s="5">
        <f>IFERROR(((BS_Timeline!K3+BS_Timeline!L3)/2)/IS_Flow!M4*91,"")</f>
        <v/>
      </c>
      <c r="L8" s="5">
        <f>IFERROR(((BS_Timeline!L3+BS_Timeline!M3)/2)/IS_Flow!N4*92,"")</f>
        <v/>
      </c>
      <c r="M8" s="5">
        <f>IFERROR(((BS_Timeline!M3+BS_Timeline!N3)/2)/IS_Flow!O4*92,"")</f>
        <v/>
      </c>
      <c r="N8" s="5">
        <f>IFERROR(((BS_Timeline!N3+BS_Timeline!O3)/2)/IS_Flow!Q4*90,"")</f>
        <v/>
      </c>
      <c r="O8" s="5">
        <f>IFERROR(((BS_Timeline!O3+BS_Timeline!P3)/2)/IS_Flow!R4*91,"")</f>
        <v/>
      </c>
      <c r="P8" s="5">
        <f>IFERROR(((BS_Timeline!P3+BS_Timeline!Q3)/2)/IS_Flow!S4*92,"")</f>
        <v/>
      </c>
      <c r="Q8" s="5">
        <f>IFERROR(((BS_Timeline!Q3+BS_Timeline!R3)/2)/IS_Flow!T4*92,"")</f>
        <v/>
      </c>
      <c r="R8" s="5">
        <f>IFERROR(((BS_Timeline!R3+BS_Timeline!S3)/2)/IS_Flow!V4*90,"")</f>
        <v/>
      </c>
      <c r="S8" s="5">
        <f>IFERROR(((BS_Timeline!S3+BS_Timeline!T3)/2)/IS_Flow!W4*91,"")</f>
        <v/>
      </c>
      <c r="T8" s="5">
        <f>IFERROR(((BS_Timeline!T3+BS_Timeline!U3)/2)/IS_Flow!X4*92,"")</f>
        <v/>
      </c>
      <c r="U8" s="5">
        <f>IFERROR(((BS_Timeline!U3+BS_Timeline!V3)/2)/IS_Flow!Y4*92,"")</f>
        <v/>
      </c>
    </row>
    <row r="9">
      <c r="A9" s="2" t="inlineStr">
        <is>
          <t>DPO (วัน)</t>
        </is>
      </c>
      <c r="B9" s="5">
        <f>IFERROR(((BS_Timeline!B4+BS_Timeline!C4)/2)/IS_Flow!B4*90,"")</f>
        <v/>
      </c>
      <c r="C9" s="5">
        <f>IFERROR(((BS_Timeline!C4+BS_Timeline!D4)/2)/IS_Flow!C4*91,"")</f>
        <v/>
      </c>
      <c r="D9" s="5">
        <f>IFERROR(((BS_Timeline!D4+BS_Timeline!E4)/2)/IS_Flow!D4*92,"")</f>
        <v/>
      </c>
      <c r="E9" s="5">
        <f>IFERROR(((BS_Timeline!E4+BS_Timeline!F4)/2)/IS_Flow!E4*92,"")</f>
        <v/>
      </c>
      <c r="F9" s="5">
        <f>IFERROR(((BS_Timeline!F4+BS_Timeline!G4)/2)/IS_Flow!G4*90,"")</f>
        <v/>
      </c>
      <c r="G9" s="5">
        <f>IFERROR(((BS_Timeline!G4+BS_Timeline!H4)/2)/IS_Flow!H4*91,"")</f>
        <v/>
      </c>
      <c r="H9" s="5">
        <f>IFERROR(((BS_Timeline!H4+BS_Timeline!I4)/2)/IS_Flow!I4*92,"")</f>
        <v/>
      </c>
      <c r="I9" s="5">
        <f>IFERROR(((BS_Timeline!I4+BS_Timeline!J4)/2)/IS_Flow!J4*92,"")</f>
        <v/>
      </c>
      <c r="J9" s="5">
        <f>IFERROR(((BS_Timeline!J4+BS_Timeline!K4)/2)/IS_Flow!L4*90,"")</f>
        <v/>
      </c>
      <c r="K9" s="5">
        <f>IFERROR(((BS_Timeline!K4+BS_Timeline!L4)/2)/IS_Flow!M4*91,"")</f>
        <v/>
      </c>
      <c r="L9" s="5">
        <f>IFERROR(((BS_Timeline!L4+BS_Timeline!M4)/2)/IS_Flow!N4*92,"")</f>
        <v/>
      </c>
      <c r="M9" s="5">
        <f>IFERROR(((BS_Timeline!M4+BS_Timeline!N4)/2)/IS_Flow!O4*92,"")</f>
        <v/>
      </c>
      <c r="N9" s="5">
        <f>IFERROR(((BS_Timeline!N4+BS_Timeline!O4)/2)/IS_Flow!Q4*90,"")</f>
        <v/>
      </c>
      <c r="O9" s="5">
        <f>IFERROR(((BS_Timeline!O4+BS_Timeline!P4)/2)/IS_Flow!R4*91,"")</f>
        <v/>
      </c>
      <c r="P9" s="5">
        <f>IFERROR(((BS_Timeline!P4+BS_Timeline!Q4)/2)/IS_Flow!S4*92,"")</f>
        <v/>
      </c>
      <c r="Q9" s="5">
        <f>IFERROR(((BS_Timeline!Q4+BS_Timeline!R4)/2)/IS_Flow!T4*92,"")</f>
        <v/>
      </c>
      <c r="R9" s="5">
        <f>IFERROR(((BS_Timeline!R4+BS_Timeline!S4)/2)/IS_Flow!V4*90,"")</f>
        <v/>
      </c>
      <c r="S9" s="5">
        <f>IFERROR(((BS_Timeline!S4+BS_Timeline!T4)/2)/IS_Flow!W4*91,"")</f>
        <v/>
      </c>
      <c r="T9" s="5">
        <f>IFERROR(((BS_Timeline!T4+BS_Timeline!U4)/2)/IS_Flow!X4*92,"")</f>
        <v/>
      </c>
      <c r="U9" s="5">
        <f>IFERROR(((BS_Timeline!U4+BS_Timeline!V4)/2)/IS_Flow!Y4*92,"")</f>
        <v/>
      </c>
    </row>
    <row r="10">
      <c r="A10" s="2" t="inlineStr">
        <is>
          <t>CCC (วัน)</t>
        </is>
      </c>
      <c r="B10" s="6">
        <f>IFERROR(B7+B8-B9,"")</f>
        <v/>
      </c>
      <c r="C10" s="6">
        <f>IFERROR(C7+C8-C9,"")</f>
        <v/>
      </c>
      <c r="D10" s="6">
        <f>IFERROR(D7+D8-D9,"")</f>
        <v/>
      </c>
      <c r="E10" s="6">
        <f>IFERROR(E7+E8-E9,"")</f>
        <v/>
      </c>
      <c r="F10" s="6">
        <f>IFERROR(F7+F8-F9,"")</f>
        <v/>
      </c>
      <c r="G10" s="6">
        <f>IFERROR(G7+G8-G9,"")</f>
        <v/>
      </c>
      <c r="H10" s="6">
        <f>IFERROR(H7+H8-H9,"")</f>
        <v/>
      </c>
      <c r="I10" s="6">
        <f>IFERROR(I7+I8-I9,"")</f>
        <v/>
      </c>
      <c r="J10" s="6">
        <f>IFERROR(J7+J8-J9,"")</f>
        <v/>
      </c>
      <c r="K10" s="6">
        <f>IFERROR(K7+K8-K9,"")</f>
        <v/>
      </c>
      <c r="L10" s="6">
        <f>IFERROR(L7+L8-L9,"")</f>
        <v/>
      </c>
      <c r="M10" s="6">
        <f>IFERROR(M7+M8-M9,"")</f>
        <v/>
      </c>
      <c r="N10" s="6">
        <f>IFERROR(N7+N8-N9,"")</f>
        <v/>
      </c>
      <c r="O10" s="6">
        <f>IFERROR(O7+O8-O9,"")</f>
        <v/>
      </c>
      <c r="P10" s="6">
        <f>IFERROR(P7+P8-P9,"")</f>
        <v/>
      </c>
      <c r="Q10" s="6">
        <f>IFERROR(Q7+Q8-Q9,"")</f>
        <v/>
      </c>
      <c r="R10" s="6">
        <f>IFERROR(R7+R8-R9,"")</f>
        <v/>
      </c>
      <c r="S10" s="6">
        <f>IFERROR(S7+S8-S9,"")</f>
        <v/>
      </c>
      <c r="T10" s="6">
        <f>IFERROR(T7+T8-T9,"")</f>
        <v/>
      </c>
      <c r="U10" s="6">
        <f>IFERROR(U7+U8-U9,"")</f>
        <v/>
      </c>
    </row>
    <row r="11">
      <c r="A11" s="2" t="inlineStr">
        <is>
          <t>ROA รายไตรมาส (%)</t>
        </is>
      </c>
      <c r="B11" s="6">
        <f>IFERROR(IS_Flow!B5/((BS_Timeline!B5+BS_Timeline!C5)/2),"")</f>
        <v/>
      </c>
      <c r="C11" s="6">
        <f>IFERROR(IS_Flow!C5/((BS_Timeline!C5+BS_Timeline!D5)/2),"")</f>
        <v/>
      </c>
      <c r="D11" s="6">
        <f>IFERROR(IS_Flow!D5/((BS_Timeline!D5+BS_Timeline!E5)/2),"")</f>
        <v/>
      </c>
      <c r="E11" s="6">
        <f>IFERROR(IS_Flow!E5/((BS_Timeline!E5+BS_Timeline!F5)/2),"")</f>
        <v/>
      </c>
      <c r="F11" s="6">
        <f>IFERROR(IS_Flow!G5/((BS_Timeline!F5+BS_Timeline!G5)/2),"")</f>
        <v/>
      </c>
      <c r="G11" s="6">
        <f>IFERROR(IS_Flow!H5/((BS_Timeline!G5+BS_Timeline!H5)/2),"")</f>
        <v/>
      </c>
      <c r="H11" s="6">
        <f>IFERROR(IS_Flow!I5/((BS_Timeline!H5+BS_Timeline!I5)/2),"")</f>
        <v/>
      </c>
      <c r="I11" s="6">
        <f>IFERROR(IS_Flow!J5/((BS_Timeline!I5+BS_Timeline!J5)/2),"")</f>
        <v/>
      </c>
      <c r="J11" s="6">
        <f>IFERROR(IS_Flow!L5/((BS_Timeline!J5+BS_Timeline!K5)/2),"")</f>
        <v/>
      </c>
      <c r="K11" s="6">
        <f>IFERROR(IS_Flow!M5/((BS_Timeline!K5+BS_Timeline!L5)/2),"")</f>
        <v/>
      </c>
      <c r="L11" s="6">
        <f>IFERROR(IS_Flow!N5/((BS_Timeline!L5+BS_Timeline!M5)/2),"")</f>
        <v/>
      </c>
      <c r="M11" s="6">
        <f>IFERROR(IS_Flow!O5/((BS_Timeline!M5+BS_Timeline!N5)/2),"")</f>
        <v/>
      </c>
      <c r="N11" s="6">
        <f>IFERROR(IS_Flow!Q5/((BS_Timeline!N5+BS_Timeline!O5)/2),"")</f>
        <v/>
      </c>
      <c r="O11" s="6">
        <f>IFERROR(IS_Flow!R5/((BS_Timeline!O5+BS_Timeline!P5)/2),"")</f>
        <v/>
      </c>
      <c r="P11" s="6">
        <f>IFERROR(IS_Flow!S5/((BS_Timeline!P5+BS_Timeline!Q5)/2),"")</f>
        <v/>
      </c>
      <c r="Q11" s="6">
        <f>IFERROR(IS_Flow!T5/((BS_Timeline!Q5+BS_Timeline!R5)/2),"")</f>
        <v/>
      </c>
      <c r="R11" s="6">
        <f>IFERROR(IS_Flow!V5/((BS_Timeline!R5+BS_Timeline!S5)/2),"")</f>
        <v/>
      </c>
      <c r="S11" s="6">
        <f>IFERROR(IS_Flow!W5/((BS_Timeline!S5+BS_Timeline!T5)/2),"")</f>
        <v/>
      </c>
      <c r="T11" s="6">
        <f>IFERROR(IS_Flow!X5/((BS_Timeline!T5+BS_Timeline!U5)/2),"")</f>
        <v/>
      </c>
      <c r="U11" s="6">
        <f>IFERROR(IS_Flow!Y5/((BS_Timeline!U5+BS_Timeline!V5)/2),"")</f>
        <v/>
      </c>
    </row>
    <row r="12">
      <c r="A12" s="2" t="inlineStr">
        <is>
          <t>ROE รายไตรมาส (%)</t>
        </is>
      </c>
      <c r="B12" s="5">
        <f>IFERROR(IS_Flow!B5/((BS_Timeline!B6+BS_Timeline!C6)/2),"")</f>
        <v/>
      </c>
      <c r="C12" s="5">
        <f>IFERROR(IS_Flow!C5/((BS_Timeline!C6+BS_Timeline!D6)/2),"")</f>
        <v/>
      </c>
      <c r="D12" s="5">
        <f>IFERROR(IS_Flow!D5/((BS_Timeline!D6+BS_Timeline!E6)/2),"")</f>
        <v/>
      </c>
      <c r="E12" s="5">
        <f>IFERROR(IS_Flow!E5/((BS_Timeline!E6+BS_Timeline!F6)/2),"")</f>
        <v/>
      </c>
      <c r="F12" s="5">
        <f>IFERROR(IS_Flow!G5/((BS_Timeline!F6+BS_Timeline!G6)/2),"")</f>
        <v/>
      </c>
      <c r="G12" s="5">
        <f>IFERROR(IS_Flow!H5/((BS_Timeline!G6+BS_Timeline!H6)/2),"")</f>
        <v/>
      </c>
      <c r="H12" s="5">
        <f>IFERROR(IS_Flow!I5/((BS_Timeline!H6+BS_Timeline!I6)/2),"")</f>
        <v/>
      </c>
      <c r="I12" s="5">
        <f>IFERROR(IS_Flow!J5/((BS_Timeline!I6+BS_Timeline!J6)/2),"")</f>
        <v/>
      </c>
      <c r="J12" s="5">
        <f>IFERROR(IS_Flow!L5/((BS_Timeline!J6+BS_Timeline!K6)/2),"")</f>
        <v/>
      </c>
      <c r="K12" s="5">
        <f>IFERROR(IS_Flow!M5/((BS_Timeline!K6+BS_Timeline!L6)/2),"")</f>
        <v/>
      </c>
      <c r="L12" s="5">
        <f>IFERROR(IS_Flow!N5/((BS_Timeline!L6+BS_Timeline!M6)/2),"")</f>
        <v/>
      </c>
      <c r="M12" s="5">
        <f>IFERROR(IS_Flow!O5/((BS_Timeline!M6+BS_Timeline!N6)/2),"")</f>
        <v/>
      </c>
      <c r="N12" s="5">
        <f>IFERROR(IS_Flow!Q5/((BS_Timeline!N6+BS_Timeline!O6)/2),"")</f>
        <v/>
      </c>
      <c r="O12" s="5">
        <f>IFERROR(IS_Flow!R5/((BS_Timeline!O6+BS_Timeline!P6)/2),"")</f>
        <v/>
      </c>
      <c r="P12" s="5">
        <f>IFERROR(IS_Flow!S5/((BS_Timeline!P6+BS_Timeline!Q6)/2),"")</f>
        <v/>
      </c>
      <c r="Q12" s="5">
        <f>IFERROR(IS_Flow!T5/((BS_Timeline!Q6+BS_Timeline!R6)/2),"")</f>
        <v/>
      </c>
      <c r="R12" s="5">
        <f>IFERROR(IS_Flow!V5/((BS_Timeline!R6+BS_Timeline!S6)/2),"")</f>
        <v/>
      </c>
      <c r="S12" s="5">
        <f>IFERROR(IS_Flow!W5/((BS_Timeline!S6+BS_Timeline!T6)/2),"")</f>
        <v/>
      </c>
      <c r="T12" s="5">
        <f>IFERROR(IS_Flow!X5/((BS_Timeline!T6+BS_Timeline!U6)/2),"")</f>
        <v/>
      </c>
      <c r="U12" s="5">
        <f>IFERROR(IS_Flow!Y5/((BS_Timeline!U6+BS_Timeline!V6)/2),"")</f>
        <v/>
      </c>
    </row>
    <row r="13">
      <c r="A13" s="2" t="inlineStr">
        <is>
          <t>D/E (เท่า)</t>
        </is>
      </c>
      <c r="B13" s="5">
        <f>IFERROR(BS_Timeline!C7/BS_Timeline!C6,"")</f>
        <v/>
      </c>
      <c r="C13" s="5">
        <f>IFERROR(BS_Timeline!D7/BS_Timeline!D6,"")</f>
        <v/>
      </c>
      <c r="D13" s="5">
        <f>IFERROR(BS_Timeline!E7/BS_Timeline!E6,"")</f>
        <v/>
      </c>
      <c r="E13" s="5">
        <f>IFERROR(BS_Timeline!F7/BS_Timeline!F6,"")</f>
        <v/>
      </c>
      <c r="F13" s="5">
        <f>IFERROR(BS_Timeline!G7/BS_Timeline!G6,"")</f>
        <v/>
      </c>
      <c r="G13" s="5">
        <f>IFERROR(BS_Timeline!H7/BS_Timeline!H6,"")</f>
        <v/>
      </c>
      <c r="H13" s="5">
        <f>IFERROR(BS_Timeline!I7/BS_Timeline!I6,"")</f>
        <v/>
      </c>
      <c r="I13" s="5">
        <f>IFERROR(BS_Timeline!J7/BS_Timeline!J6,"")</f>
        <v/>
      </c>
      <c r="J13" s="5">
        <f>IFERROR(BS_Timeline!K7/BS_Timeline!K6,"")</f>
        <v/>
      </c>
      <c r="K13" s="5">
        <f>IFERROR(BS_Timeline!L7/BS_Timeline!L6,"")</f>
        <v/>
      </c>
      <c r="L13" s="5">
        <f>IFERROR(BS_Timeline!M7/BS_Timeline!M6,"")</f>
        <v/>
      </c>
      <c r="M13" s="5">
        <f>IFERROR(BS_Timeline!N7/BS_Timeline!N6,"")</f>
        <v/>
      </c>
      <c r="N13" s="5">
        <f>IFERROR(BS_Timeline!O7/BS_Timeline!O6,"")</f>
        <v/>
      </c>
      <c r="O13" s="5">
        <f>IFERROR(BS_Timeline!P7/BS_Timeline!P6,"")</f>
        <v/>
      </c>
      <c r="P13" s="5">
        <f>IFERROR(BS_Timeline!Q7/BS_Timeline!Q6,"")</f>
        <v/>
      </c>
      <c r="Q13" s="5">
        <f>IFERROR(BS_Timeline!R7/BS_Timeline!R6,"")</f>
        <v/>
      </c>
      <c r="R13" s="5">
        <f>IFERROR(BS_Timeline!S7/BS_Timeline!S6,"")</f>
        <v/>
      </c>
      <c r="S13" s="5">
        <f>IFERROR(BS_Timeline!T7/BS_Timeline!T6,"")</f>
        <v/>
      </c>
      <c r="T13" s="5">
        <f>IFERROR(BS_Timeline!U7/BS_Timeline!U6,"")</f>
        <v/>
      </c>
      <c r="U13" s="5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ERW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2026-07-23T17:29:45Z</dcterms:created>
  <dcterms:modified xmlns:dcterms="http://purl.org/dc/terms/" xmlns:xsi="http://www.w3.org/2001/XMLSchema-instance" xsi:type="dcterms:W3CDTF">2026-07-23T17:29:45Z</dcterms:modified>
</cp:coreProperties>
</file>