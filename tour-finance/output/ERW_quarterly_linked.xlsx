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390.059</v>
      </c>
      <c r="C2" t="n">
        <v>269.132</v>
      </c>
      <c r="D2" t="n">
        <v>253.762</v>
      </c>
      <c r="E2" s="3">
        <f>F2-B2-C2-D2</f>
        <v/>
      </c>
      <c r="F2" t="n">
        <v>1641.258</v>
      </c>
      <c r="G2" t="n">
        <v>646.0940000000001</v>
      </c>
      <c r="H2" t="n">
        <v>1006.085</v>
      </c>
      <c r="I2" t="n">
        <v>1289.39</v>
      </c>
      <c r="J2" s="3">
        <f>K2-G2-H2-I2</f>
        <v/>
      </c>
      <c r="K2" t="n">
        <v>4717.288</v>
      </c>
      <c r="L2" t="n">
        <v>1774.625</v>
      </c>
      <c r="M2" t="n">
        <v>1641.935</v>
      </c>
      <c r="N2" t="n">
        <v>1742.8</v>
      </c>
      <c r="O2" s="3">
        <f>P2-L2-M2-N2</f>
        <v/>
      </c>
      <c r="P2" t="n">
        <v>7046.29</v>
      </c>
      <c r="Q2" t="n">
        <v>2119.357</v>
      </c>
      <c r="R2" t="n">
        <v>1843.268</v>
      </c>
      <c r="S2" t="n">
        <v>1856.024</v>
      </c>
      <c r="T2" s="3">
        <f>U2-Q2-R2-S2</f>
        <v/>
      </c>
      <c r="U2" t="n">
        <v>8053.926</v>
      </c>
      <c r="V2" t="n">
        <v>2135.663</v>
      </c>
      <c r="W2" t="n">
        <v>1753.339</v>
      </c>
      <c r="X2" t="n">
        <v>1788.638</v>
      </c>
      <c r="Y2" s="3">
        <f>Z2-V2-W2-X2</f>
        <v/>
      </c>
      <c r="Z2" t="n">
        <v>7937.392</v>
      </c>
    </row>
    <row r="3">
      <c r="A3" s="2" t="inlineStr">
        <is>
          <t>รายได้อื่น</t>
        </is>
      </c>
      <c r="B3" t="n">
        <v>11.432</v>
      </c>
      <c r="C3" t="n">
        <v>23.294</v>
      </c>
      <c r="D3" t="n">
        <v>70.71899999999999</v>
      </c>
      <c r="E3" s="3">
        <f>F3-B3-C3-D3</f>
        <v/>
      </c>
      <c r="F3" t="n">
        <v>77.11799999999999</v>
      </c>
      <c r="G3" t="n">
        <v>7.275</v>
      </c>
      <c r="H3" t="n">
        <v>69.651</v>
      </c>
      <c r="I3" t="n">
        <v>49.647</v>
      </c>
      <c r="J3" s="3">
        <f>K3-G3-H3-I3</f>
        <v/>
      </c>
      <c r="K3" t="n">
        <v>86.023</v>
      </c>
      <c r="L3" t="n">
        <v>20.232</v>
      </c>
      <c r="M3" t="n">
        <v>52.552</v>
      </c>
      <c r="N3" t="n">
        <v>48.472</v>
      </c>
      <c r="O3" s="3">
        <f>P3-L3-M3-N3</f>
        <v/>
      </c>
      <c r="P3" t="n">
        <v>52.98</v>
      </c>
      <c r="Q3" t="n">
        <v>14.968</v>
      </c>
      <c r="R3" t="n">
        <v>28.872</v>
      </c>
      <c r="S3" t="n">
        <v>33.976</v>
      </c>
      <c r="T3" s="3">
        <f>U3-Q3-R3-S3</f>
        <v/>
      </c>
      <c r="U3" t="n">
        <v>45.19</v>
      </c>
      <c r="V3" t="n">
        <v>6.865</v>
      </c>
      <c r="W3" t="n">
        <v>7.545</v>
      </c>
      <c r="X3" t="n">
        <v>23.796</v>
      </c>
      <c r="Y3" s="3">
        <f>Z3-V3-W3-X3</f>
        <v/>
      </c>
      <c r="Z3" t="n">
        <v>25.178</v>
      </c>
    </row>
    <row r="4">
      <c r="A4" s="2" t="inlineStr">
        <is>
          <t>ต้นทุนขาย (จริง)</t>
        </is>
      </c>
      <c r="B4" t="n">
        <v>315.026</v>
      </c>
      <c r="C4" t="n">
        <v>284.888</v>
      </c>
      <c r="D4" t="n">
        <v>286.682</v>
      </c>
      <c r="E4" s="3">
        <f>F4-B4-C4-D4</f>
        <v/>
      </c>
      <c r="F4" t="n">
        <v>1284.16</v>
      </c>
      <c r="G4" t="n">
        <v>404.82</v>
      </c>
      <c r="H4" t="n">
        <v>519.9880000000001</v>
      </c>
      <c r="I4" t="n">
        <v>607.211</v>
      </c>
      <c r="J4" s="3">
        <f>K4-G4-H4-I4</f>
        <v/>
      </c>
      <c r="K4" t="n">
        <v>2282.152</v>
      </c>
      <c r="L4" t="n">
        <v>775.229</v>
      </c>
      <c r="M4" t="n">
        <v>726.693</v>
      </c>
      <c r="N4" t="n">
        <v>757.077</v>
      </c>
      <c r="O4" s="3">
        <f>P4-L4-M4-N4</f>
        <v/>
      </c>
      <c r="P4" t="n">
        <v>3034.518</v>
      </c>
      <c r="Q4" t="n">
        <v>793.662</v>
      </c>
      <c r="R4" t="n">
        <v>809.742</v>
      </c>
      <c r="S4" t="n">
        <v>812.235</v>
      </c>
      <c r="T4" s="3">
        <f>U4-Q4-R4-S4</f>
        <v/>
      </c>
      <c r="U4" t="n">
        <v>3275.985</v>
      </c>
      <c r="V4" t="n">
        <v>836.5890000000001</v>
      </c>
      <c r="W4" t="n">
        <v>792.994</v>
      </c>
      <c r="X4" t="n">
        <v>801.101</v>
      </c>
      <c r="Y4" s="3">
        <f>Z4-V4-W4-X4</f>
        <v/>
      </c>
      <c r="Z4" t="n">
        <v>3265.028</v>
      </c>
    </row>
    <row r="5">
      <c r="A5" s="2" t="inlineStr">
        <is>
          <t>กำไรสุทธิ (รวม)</t>
        </is>
      </c>
      <c r="B5" t="n">
        <v>-512.877</v>
      </c>
      <c r="C5" t="n">
        <v>-716.788</v>
      </c>
      <c r="D5" t="n">
        <v>-667.617</v>
      </c>
      <c r="E5" s="3">
        <f>F5-B5-C5-D5</f>
        <v/>
      </c>
      <c r="F5" t="n">
        <v>-2155.372</v>
      </c>
      <c r="G5" t="n">
        <v>-324.862</v>
      </c>
      <c r="H5" t="n">
        <v>-143.041</v>
      </c>
      <c r="I5" t="n">
        <v>-5.353</v>
      </c>
      <c r="J5" s="3">
        <f>K5-G5-H5-I5</f>
        <v/>
      </c>
      <c r="K5" t="n">
        <v>-213.062</v>
      </c>
      <c r="L5" t="n">
        <v>237.391</v>
      </c>
      <c r="M5" t="n">
        <v>143.879</v>
      </c>
      <c r="N5" t="n">
        <v>155.228</v>
      </c>
      <c r="O5" s="3">
        <f>P5-L5-M5-N5</f>
        <v/>
      </c>
      <c r="P5" t="n">
        <v>759.877</v>
      </c>
      <c r="Q5" t="n">
        <v>428.404</v>
      </c>
      <c r="R5" t="n">
        <v>365.506</v>
      </c>
      <c r="S5" t="n">
        <v>124.49</v>
      </c>
      <c r="T5" s="3">
        <f>U5-Q5-R5-S5</f>
        <v/>
      </c>
      <c r="U5" t="n">
        <v>1312.506</v>
      </c>
      <c r="V5" t="n">
        <v>362.736</v>
      </c>
      <c r="W5" t="n">
        <v>69.78</v>
      </c>
      <c r="X5" t="n">
        <v>59.797</v>
      </c>
      <c r="Y5" s="3">
        <f>Z5-V5-W5-X5</f>
        <v/>
      </c>
      <c r="Z5" t="n">
        <v>904.756</v>
      </c>
    </row>
    <row r="6">
      <c r="A6" s="2" t="inlineStr">
        <is>
          <t>กำไรสุทธิ (ส่วนแม่)</t>
        </is>
      </c>
      <c r="B6" s="4" t="n"/>
      <c r="C6" t="n">
        <v>-689.778</v>
      </c>
      <c r="D6" t="n">
        <v>-622.789</v>
      </c>
      <c r="E6" s="3">
        <f>F6-B6-C6-D6</f>
        <v/>
      </c>
      <c r="F6" s="3">
        <f>B6+C6+D6+E6</f>
        <v/>
      </c>
      <c r="G6" s="4" t="n"/>
      <c r="H6" t="n">
        <v>-139.108</v>
      </c>
      <c r="I6" t="n">
        <v>-11.52</v>
      </c>
      <c r="J6" s="3">
        <f>K6-G6-H6-I6</f>
        <v/>
      </c>
      <c r="K6" s="3">
        <f>G6+H6+I6+J6</f>
        <v/>
      </c>
      <c r="L6" s="4" t="n"/>
      <c r="M6" t="n">
        <v>141.969</v>
      </c>
      <c r="N6" t="n">
        <v>148.293</v>
      </c>
      <c r="O6" s="3">
        <f>P6-L6-M6-N6</f>
        <v/>
      </c>
      <c r="P6" s="3">
        <f>L6+M6+N6+O6</f>
        <v/>
      </c>
      <c r="Q6" s="4" t="n"/>
      <c r="R6" t="n">
        <v>361.434</v>
      </c>
      <c r="S6" t="n">
        <v>124.53</v>
      </c>
      <c r="T6" s="3">
        <f>U6-Q6-R6-S6</f>
        <v/>
      </c>
      <c r="U6" s="3">
        <f>Q6+R6+S6+T6</f>
        <v/>
      </c>
      <c r="V6" s="4" t="n"/>
      <c r="W6" s="4" t="n"/>
      <c r="X6" t="n">
        <v>56.6</v>
      </c>
      <c r="Y6" s="3">
        <f>Z6-V6-W6-X6</f>
        <v/>
      </c>
      <c r="Z6" s="3">
        <f>V6+W6+X6+Y6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76.587</v>
      </c>
      <c r="C2" t="n">
        <v>66.958</v>
      </c>
      <c r="D2" t="n">
        <v>47.166</v>
      </c>
      <c r="E2" t="n">
        <v>53.535</v>
      </c>
      <c r="F2" t="n">
        <v>99.854</v>
      </c>
      <c r="G2" t="n">
        <v>116.99</v>
      </c>
      <c r="H2" t="n">
        <v>115.151</v>
      </c>
      <c r="I2" t="n">
        <v>145.022</v>
      </c>
      <c r="J2" t="n">
        <v>159.805</v>
      </c>
      <c r="K2" t="n">
        <v>155.536</v>
      </c>
      <c r="L2" t="n">
        <v>129.797</v>
      </c>
      <c r="M2" t="n">
        <v>127.605</v>
      </c>
      <c r="N2" t="n">
        <v>169.827</v>
      </c>
      <c r="O2" t="n">
        <v>150.106</v>
      </c>
      <c r="P2" t="n">
        <v>143.792</v>
      </c>
      <c r="Q2" t="n">
        <v>139.711</v>
      </c>
      <c r="R2" t="n">
        <v>222.438</v>
      </c>
      <c r="S2" t="n">
        <v>160.189</v>
      </c>
      <c r="T2" t="n">
        <v>120.711</v>
      </c>
      <c r="U2" t="n">
        <v>155.074</v>
      </c>
      <c r="V2" t="n">
        <v>232.438</v>
      </c>
    </row>
    <row r="3">
      <c r="A3" s="2" t="inlineStr">
        <is>
          <t>สินค้าคงเหลือ</t>
        </is>
      </c>
      <c r="B3" t="n">
        <v>46.207</v>
      </c>
      <c r="C3" t="n">
        <v>40.275</v>
      </c>
      <c r="D3" t="n">
        <v>38.527</v>
      </c>
      <c r="E3" t="n">
        <v>37.071</v>
      </c>
      <c r="F3" t="n">
        <v>39.306</v>
      </c>
      <c r="G3" t="n">
        <v>35.258</v>
      </c>
      <c r="H3" t="n">
        <v>37.341</v>
      </c>
      <c r="I3" t="n">
        <v>38.492</v>
      </c>
      <c r="J3" t="n">
        <v>43.467</v>
      </c>
      <c r="K3" t="n">
        <v>37.421</v>
      </c>
      <c r="L3" t="n">
        <v>37.818</v>
      </c>
      <c r="M3" t="n">
        <v>41.197</v>
      </c>
      <c r="N3" t="n">
        <v>48.963</v>
      </c>
      <c r="O3" t="n">
        <v>42.976</v>
      </c>
      <c r="P3" t="n">
        <v>40.795</v>
      </c>
      <c r="Q3" t="n">
        <v>41.77</v>
      </c>
      <c r="R3" t="n">
        <v>42.817</v>
      </c>
      <c r="S3" t="n">
        <v>41.126</v>
      </c>
      <c r="T3" t="n">
        <v>39.848</v>
      </c>
      <c r="U3" t="n">
        <v>42.315</v>
      </c>
      <c r="V3" t="n">
        <v>40.396</v>
      </c>
    </row>
    <row r="4">
      <c r="A4" s="2" t="inlineStr">
        <is>
          <t>เจ้าหนี้การค้า</t>
        </is>
      </c>
      <c r="B4" t="n">
        <v>144.666</v>
      </c>
      <c r="C4" t="n">
        <v>103.802</v>
      </c>
      <c r="D4" t="n">
        <v>70.72799999999999</v>
      </c>
      <c r="E4" t="n">
        <v>70.03</v>
      </c>
      <c r="F4" t="n">
        <v>142.676</v>
      </c>
      <c r="G4" t="n">
        <v>106.87</v>
      </c>
      <c r="H4" t="n">
        <v>126.184</v>
      </c>
      <c r="I4" t="n">
        <v>142.653</v>
      </c>
      <c r="J4" t="n">
        <v>234.513</v>
      </c>
      <c r="K4" t="n">
        <v>173.704</v>
      </c>
      <c r="L4" t="n">
        <v>150.803</v>
      </c>
      <c r="M4" t="n">
        <v>180.31</v>
      </c>
      <c r="N4" t="n">
        <v>226.853</v>
      </c>
      <c r="O4" t="n">
        <v>209.768</v>
      </c>
      <c r="P4" t="n">
        <v>192.776</v>
      </c>
      <c r="Q4" t="n">
        <v>169.55</v>
      </c>
      <c r="R4" t="n">
        <v>266.009</v>
      </c>
      <c r="S4" t="n">
        <v>175.013</v>
      </c>
      <c r="T4" t="n">
        <v>154.434</v>
      </c>
      <c r="U4" t="n">
        <v>180.07</v>
      </c>
      <c r="V4" t="n">
        <v>257.323</v>
      </c>
    </row>
    <row r="5">
      <c r="A5" s="2" t="inlineStr">
        <is>
          <t>สินทรัพย์รวม</t>
        </is>
      </c>
      <c r="B5" t="n">
        <v>21214.717</v>
      </c>
      <c r="C5" t="n">
        <v>21048.98</v>
      </c>
      <c r="D5" t="n">
        <v>23603.712</v>
      </c>
      <c r="E5" t="n">
        <v>23296.713</v>
      </c>
      <c r="F5" t="n">
        <v>22450.213</v>
      </c>
      <c r="G5" t="n">
        <v>22388.076</v>
      </c>
      <c r="H5" t="n">
        <v>21250.682</v>
      </c>
      <c r="I5" t="n">
        <v>21433.702</v>
      </c>
      <c r="J5" t="n">
        <v>21711.812</v>
      </c>
      <c r="K5" t="n">
        <v>21482.14</v>
      </c>
      <c r="L5" t="n">
        <v>21552.764</v>
      </c>
      <c r="M5" t="n">
        <v>23814.068</v>
      </c>
      <c r="N5" t="n">
        <v>23674.931</v>
      </c>
      <c r="O5" t="n">
        <v>23907.039</v>
      </c>
      <c r="P5" t="n">
        <v>25567.646</v>
      </c>
      <c r="Q5" t="n">
        <v>24928.592</v>
      </c>
      <c r="R5" t="n">
        <v>26246.078</v>
      </c>
      <c r="S5" t="n">
        <v>25917.3</v>
      </c>
      <c r="T5" t="n">
        <v>25764.928</v>
      </c>
      <c r="U5" t="n">
        <v>25461.134</v>
      </c>
      <c r="V5" t="n">
        <v>26459.926</v>
      </c>
    </row>
    <row r="6">
      <c r="A6" s="2" t="inlineStr">
        <is>
          <t>ส่วนของเจ้าของรวม</t>
        </is>
      </c>
      <c r="B6" t="n">
        <v>3928.559</v>
      </c>
      <c r="C6" t="n">
        <v>3439.943</v>
      </c>
      <c r="D6" t="n">
        <v>6959.668</v>
      </c>
      <c r="E6" t="n">
        <v>6309.161</v>
      </c>
      <c r="F6" t="n">
        <v>6022.719</v>
      </c>
      <c r="G6" t="n">
        <v>5657.401</v>
      </c>
      <c r="H6" t="n">
        <v>5551.743</v>
      </c>
      <c r="I6" t="n">
        <v>5566.029</v>
      </c>
      <c r="J6" t="n">
        <v>5721.626</v>
      </c>
      <c r="K6" t="n">
        <v>5980.403</v>
      </c>
      <c r="L6" t="n">
        <v>6166.695</v>
      </c>
      <c r="M6" t="n">
        <v>6277.706</v>
      </c>
      <c r="N6" t="n">
        <v>6369.945</v>
      </c>
      <c r="O6" t="n">
        <v>6831.886</v>
      </c>
      <c r="P6" t="n">
        <v>7860.623</v>
      </c>
      <c r="Q6" t="n">
        <v>7834.106</v>
      </c>
      <c r="R6" t="n">
        <v>9491.813</v>
      </c>
      <c r="S6" t="n">
        <v>9919.18</v>
      </c>
      <c r="T6" t="n">
        <v>9508.700000000001</v>
      </c>
      <c r="U6" t="n">
        <v>9481.111999999999</v>
      </c>
      <c r="V6" t="n">
        <v>9787.165000000001</v>
      </c>
    </row>
    <row r="7">
      <c r="A7" s="2" t="inlineStr">
        <is>
          <t>หนี้สินรวม</t>
        </is>
      </c>
      <c r="B7" t="n">
        <v>17286.158</v>
      </c>
      <c r="C7" t="n">
        <v>17609.037</v>
      </c>
      <c r="D7" t="n">
        <v>16644.044</v>
      </c>
      <c r="E7" t="n">
        <v>16987.552</v>
      </c>
      <c r="F7" t="n">
        <v>16427.494</v>
      </c>
      <c r="G7" t="n">
        <v>16730.675</v>
      </c>
      <c r="H7" t="n">
        <v>15698.939</v>
      </c>
      <c r="I7" t="n">
        <v>15867.673</v>
      </c>
      <c r="J7" t="n">
        <v>15990.185</v>
      </c>
      <c r="K7" t="n">
        <v>15501.737</v>
      </c>
      <c r="L7" t="n">
        <v>15386.069</v>
      </c>
      <c r="M7" t="n">
        <v>17536.362</v>
      </c>
      <c r="N7" t="n">
        <v>17304.986</v>
      </c>
      <c r="O7" t="n">
        <v>17075.153</v>
      </c>
      <c r="P7" t="n">
        <v>17707.023</v>
      </c>
      <c r="Q7" t="n">
        <v>17094.486</v>
      </c>
      <c r="R7" t="n">
        <v>16754.265</v>
      </c>
      <c r="S7" t="n">
        <v>15998.12</v>
      </c>
      <c r="T7" t="n">
        <v>16256.228</v>
      </c>
      <c r="U7" t="n">
        <v>15980.022</v>
      </c>
      <c r="V7" t="n">
        <v>16672.762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ERW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2026-07-23T18:05:06Z</dcterms:created>
  <dcterms:modified xmlns:dcterms="http://purl.org/dc/terms/" xmlns:xsi="http://www.w3.org/2001/XMLSchema-instance" xsi:type="dcterms:W3CDTF">2026-07-23T18:05:06Z</dcterms:modified>
</cp:coreProperties>
</file>