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อ่านอย่างไ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ตัวเลขดิบจากงบตรวจสอบ FY2568 (ล้านบาท) — ช่องเหลืองแก้ได้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s="2" t="inlineStr">
        <is>
          <t>รายการ</t>
        </is>
      </c>
      <c r="B2" s="2" t="inlineStr">
        <is>
          <t>ASIA</t>
        </is>
      </c>
      <c r="C2" s="2" t="inlineStr">
        <is>
          <t>CENTEL</t>
        </is>
      </c>
      <c r="D2" s="2" t="inlineStr">
        <is>
          <t>DUSIT</t>
        </is>
      </c>
      <c r="E2" s="2" t="inlineStr">
        <is>
          <t>ERW</t>
        </is>
      </c>
      <c r="F2" s="2" t="inlineStr">
        <is>
          <t>MANRIN</t>
        </is>
      </c>
      <c r="G2" s="2" t="inlineStr">
        <is>
          <t>MINT</t>
        </is>
      </c>
      <c r="H2" s="2" t="inlineStr">
        <is>
          <t>OHTL</t>
        </is>
      </c>
      <c r="I2" s="2" t="inlineStr">
        <is>
          <t>SHANG</t>
        </is>
      </c>
      <c r="J2" s="2" t="inlineStr">
        <is>
          <t>SHR</t>
        </is>
      </c>
      <c r="K2" s="2" t="inlineStr">
        <is>
          <t>VRANDA</t>
        </is>
      </c>
    </row>
    <row r="3">
      <c r="A3" s="1" t="inlineStr">
        <is>
          <t>รายได้รวม (FY)</t>
        </is>
      </c>
      <c r="B3" s="3" t="n">
        <v>1364.564</v>
      </c>
      <c r="C3" s="3" t="n">
        <v>25050.93</v>
      </c>
      <c r="D3" s="3" t="n">
        <v>8923.996999999999</v>
      </c>
      <c r="E3" s="3" t="n">
        <v>7937.392</v>
      </c>
      <c r="F3" s="3" t="n">
        <v>363.247</v>
      </c>
      <c r="G3" s="3" t="n">
        <v>165804.714</v>
      </c>
      <c r="H3" s="3" t="n">
        <v>2524.941</v>
      </c>
      <c r="I3" s="3" t="n">
        <v>2153.389</v>
      </c>
      <c r="J3" s="3" t="n">
        <v>10411.173</v>
      </c>
      <c r="K3" s="3" t="n">
        <v>1577.181</v>
      </c>
    </row>
    <row r="4">
      <c r="A4" s="1" t="inlineStr">
        <is>
          <t>รายได้อื่น (FY)</t>
        </is>
      </c>
      <c r="B4" s="3" t="n">
        <v>80.027</v>
      </c>
      <c r="C4" s="3" t="n">
        <v>1096.979</v>
      </c>
      <c r="D4" s="3" t="n">
        <v>1013.082</v>
      </c>
      <c r="E4" s="3" t="n">
        <v>25.178</v>
      </c>
      <c r="F4" s="3" t="n">
        <v>1.015</v>
      </c>
      <c r="G4" s="3" t="n">
        <v>4275.181</v>
      </c>
      <c r="H4" s="3" t="n">
        <v>2.68</v>
      </c>
      <c r="I4" s="3" t="n">
        <v>20.237</v>
      </c>
      <c r="J4" s="3" t="n">
        <v>111.837</v>
      </c>
      <c r="K4" s="3" t="n">
        <v>46.964</v>
      </c>
    </row>
    <row r="5">
      <c r="A5" s="1" t="inlineStr">
        <is>
          <t>ต้นทุนขาย (FY)</t>
        </is>
      </c>
      <c r="B5" s="3" t="n">
        <v>942.602</v>
      </c>
      <c r="C5" s="3" t="n">
        <v>13356.611</v>
      </c>
      <c r="D5" s="3" t="n">
        <v>5378.316</v>
      </c>
      <c r="E5" s="3" t="n">
        <v>3265.028</v>
      </c>
      <c r="F5" s="3" t="n">
        <v>213.736</v>
      </c>
      <c r="G5" s="3" t="n">
        <v>86221.785</v>
      </c>
      <c r="H5" s="3" t="n">
        <v>1332.588</v>
      </c>
      <c r="I5" s="3" t="n">
        <v>695.217</v>
      </c>
      <c r="J5" s="3" t="n">
        <v>6279.64</v>
      </c>
      <c r="K5" s="3" t="n">
        <v>866.224</v>
      </c>
    </row>
    <row r="6">
      <c r="A6" s="1" t="inlineStr">
        <is>
          <t>กำไรสุทธิ (รวมส่วนได้เสียไม่มีอำนาจควบคุม)</t>
        </is>
      </c>
      <c r="B6" s="3" t="n">
        <v>-3.355</v>
      </c>
      <c r="C6" s="3" t="n">
        <v>1964.146</v>
      </c>
      <c r="D6" s="3" t="n">
        <v>-470.835</v>
      </c>
      <c r="E6" s="3" t="n">
        <v>904.756</v>
      </c>
      <c r="F6" s="3" t="n">
        <v>39.818</v>
      </c>
      <c r="G6" s="3" t="n">
        <v>9839.333000000001</v>
      </c>
      <c r="H6" s="3" t="n">
        <v>313.694</v>
      </c>
      <c r="I6" s="3" t="n">
        <v>240.904</v>
      </c>
      <c r="J6" s="3" t="n">
        <v>-1586.048</v>
      </c>
      <c r="K6" s="3" t="n">
        <v>100.784</v>
      </c>
    </row>
    <row r="7">
      <c r="A7" s="1" t="inlineStr">
        <is>
          <t>กำไรสุทธิ (ส่วนของผู้ถือหุ้นบริษัทใหญ่)</t>
        </is>
      </c>
      <c r="B7" s="3" t="n"/>
      <c r="C7" s="3" t="n">
        <v>1992.902</v>
      </c>
      <c r="D7" s="3" t="n">
        <v>-453.313</v>
      </c>
      <c r="E7" s="3" t="n"/>
      <c r="F7" s="3" t="n"/>
      <c r="G7" s="3" t="n">
        <v>9009.342000000001</v>
      </c>
      <c r="H7" s="3" t="n">
        <v>313.694</v>
      </c>
      <c r="I7" s="3" t="n">
        <v>240.912</v>
      </c>
      <c r="J7" s="3" t="n"/>
      <c r="K7" s="3" t="n">
        <v>100.784</v>
      </c>
    </row>
    <row r="8">
      <c r="A8" s="1" t="inlineStr">
        <is>
          <t>ลูกหนี้การค้า — ต้นปี</t>
        </is>
      </c>
      <c r="B8" s="3" t="n">
        <v>87.279</v>
      </c>
      <c r="C8" s="3" t="n">
        <v>1207.737</v>
      </c>
      <c r="D8" s="3" t="n">
        <v>1145.08</v>
      </c>
      <c r="E8" s="3" t="n">
        <v>222.438</v>
      </c>
      <c r="F8" s="3" t="n">
        <v>13.217</v>
      </c>
      <c r="G8" s="3" t="n">
        <v>13970.341</v>
      </c>
      <c r="H8" s="3" t="n">
        <v>84.202</v>
      </c>
      <c r="I8" s="3" t="n">
        <v>80.06399999999999</v>
      </c>
      <c r="J8" s="3" t="n">
        <v>475.753</v>
      </c>
      <c r="K8" s="3" t="n">
        <v>55.427</v>
      </c>
    </row>
    <row r="9">
      <c r="A9" s="1" t="inlineStr">
        <is>
          <t>ลูกหนี้การค้า — ปลายปี</t>
        </is>
      </c>
      <c r="B9" s="3" t="n">
        <v>90.57299999999999</v>
      </c>
      <c r="C9" s="3" t="n">
        <v>961.72</v>
      </c>
      <c r="D9" s="3" t="n">
        <v>1482.137</v>
      </c>
      <c r="E9" s="3" t="n">
        <v>232.438</v>
      </c>
      <c r="F9" s="3" t="n">
        <v>10.615</v>
      </c>
      <c r="G9" s="3" t="n">
        <v>15911.602</v>
      </c>
      <c r="H9" s="3" t="n">
        <v>107.373</v>
      </c>
      <c r="I9" s="3" t="n">
        <v>90.01300000000001</v>
      </c>
      <c r="J9" s="3" t="n">
        <v>406.258</v>
      </c>
      <c r="K9" s="3" t="n">
        <v>52.939</v>
      </c>
    </row>
    <row r="10">
      <c r="A10" s="1" t="inlineStr">
        <is>
          <t>สินค้าคงเหลือ — ต้นปี</t>
        </is>
      </c>
      <c r="B10" s="3" t="n">
        <v>46.247</v>
      </c>
      <c r="C10" s="3" t="n">
        <v>904.759</v>
      </c>
      <c r="D10" s="3" t="n">
        <v>130.736</v>
      </c>
      <c r="E10" s="3" t="n">
        <v>42.817</v>
      </c>
      <c r="F10" s="3" t="n">
        <v>1.626</v>
      </c>
      <c r="G10" s="3" t="n">
        <v>3917.636</v>
      </c>
      <c r="H10" s="3" t="n">
        <v>28.86</v>
      </c>
      <c r="I10" s="3" t="n">
        <v>28.732</v>
      </c>
      <c r="J10" s="3" t="n">
        <v>232.259</v>
      </c>
      <c r="K10" s="3" t="n">
        <v>16.851</v>
      </c>
    </row>
    <row r="11">
      <c r="A11" s="1" t="inlineStr">
        <is>
          <t>สินค้าคงเหลือ — ปลายปี</t>
        </is>
      </c>
      <c r="B11" s="3" t="n">
        <v>46.002</v>
      </c>
      <c r="C11" s="3" t="n">
        <v>868.216</v>
      </c>
      <c r="D11" s="3" t="n">
        <v>133.654</v>
      </c>
      <c r="E11" s="3" t="n">
        <v>40.396</v>
      </c>
      <c r="F11" s="3" t="n">
        <v>1.637</v>
      </c>
      <c r="G11" s="3" t="n">
        <v>3921.48</v>
      </c>
      <c r="H11" s="3" t="n">
        <v>36.342</v>
      </c>
      <c r="I11" s="3" t="n">
        <v>27.883</v>
      </c>
      <c r="J11" s="3" t="n">
        <v>244.432</v>
      </c>
      <c r="K11" s="3" t="n">
        <v>20.38</v>
      </c>
    </row>
    <row r="12">
      <c r="A12" s="1" t="inlineStr">
        <is>
          <t>เจ้าหนี้การค้า — ต้นปี</t>
        </is>
      </c>
      <c r="B12" s="3" t="n">
        <v>33.155</v>
      </c>
      <c r="C12" s="3" t="n">
        <v>4423.239</v>
      </c>
      <c r="D12" s="3" t="n">
        <v>1909.206</v>
      </c>
      <c r="E12" s="3" t="n">
        <v>266.009</v>
      </c>
      <c r="F12" s="3" t="n">
        <v>40.06</v>
      </c>
      <c r="G12" s="3" t="n">
        <v>24414.611</v>
      </c>
      <c r="H12" s="3" t="n">
        <v>374.801</v>
      </c>
      <c r="I12" s="3" t="n">
        <v>234.957</v>
      </c>
      <c r="J12" s="3" t="n">
        <v>975.128</v>
      </c>
      <c r="K12" s="3" t="n">
        <v>440.911</v>
      </c>
    </row>
    <row r="13">
      <c r="A13" s="1" t="inlineStr">
        <is>
          <t>เจ้าหนี้การค้า — ปลายปี</t>
        </is>
      </c>
      <c r="B13" s="3" t="n">
        <v>32.852</v>
      </c>
      <c r="C13" s="3" t="n">
        <v>3929.778</v>
      </c>
      <c r="D13" s="3" t="n">
        <v>2068.782</v>
      </c>
      <c r="E13" s="3" t="n">
        <v>257.323</v>
      </c>
      <c r="F13" s="3" t="n">
        <v>30.444</v>
      </c>
      <c r="G13" s="3" t="n">
        <v>25606.359</v>
      </c>
      <c r="H13" s="3" t="n">
        <v>598.6420000000001</v>
      </c>
      <c r="I13" s="3" t="n">
        <v>259.24</v>
      </c>
      <c r="J13" s="3" t="n">
        <v>1009.863</v>
      </c>
      <c r="K13" s="3" t="n">
        <v>238.739</v>
      </c>
    </row>
    <row r="14">
      <c r="A14" s="1" t="inlineStr">
        <is>
          <t>สินทรัพย์รวม — ต้นปี</t>
        </is>
      </c>
      <c r="B14" s="3" t="n">
        <v>10140.751</v>
      </c>
      <c r="C14" s="3" t="n">
        <v>60760.633</v>
      </c>
      <c r="D14" s="3" t="n">
        <v>38270.77</v>
      </c>
      <c r="E14" s="3" t="n">
        <v>26246.078</v>
      </c>
      <c r="F14" s="3" t="n">
        <v>691.668</v>
      </c>
      <c r="G14" s="3" t="n">
        <v>346844.932</v>
      </c>
      <c r="H14" s="3" t="n">
        <v>5742.7</v>
      </c>
      <c r="I14" s="3" t="n">
        <v>8067.434</v>
      </c>
      <c r="J14" s="3" t="n">
        <v>36325.359</v>
      </c>
      <c r="K14" s="3" t="n">
        <v>5614.758</v>
      </c>
    </row>
    <row r="15">
      <c r="A15" s="1" t="inlineStr">
        <is>
          <t>สินทรัพย์รวม — ปลายปี</t>
        </is>
      </c>
      <c r="B15" s="3" t="n">
        <v>10336.316</v>
      </c>
      <c r="C15" s="3" t="n">
        <v>62728.019</v>
      </c>
      <c r="D15" s="3" t="n">
        <v>39722.107</v>
      </c>
      <c r="E15" s="3" t="n">
        <v>26459.926</v>
      </c>
      <c r="F15" s="3" t="n">
        <v>645.327</v>
      </c>
      <c r="G15" s="3" t="n">
        <v>357329.667</v>
      </c>
      <c r="H15" s="3" t="n">
        <v>6047.546</v>
      </c>
      <c r="I15" s="3" t="n">
        <v>8261.976000000001</v>
      </c>
      <c r="J15" s="3" t="n">
        <v>33003.412</v>
      </c>
      <c r="K15" s="3" t="n">
        <v>5770.154</v>
      </c>
    </row>
    <row r="16">
      <c r="A16" s="1" t="inlineStr">
        <is>
          <t>ส่วนของเจ้าของรวม — ต้นปี</t>
        </is>
      </c>
      <c r="B16" s="3" t="n">
        <v>6008.757</v>
      </c>
      <c r="C16" s="3" t="n">
        <v>20949.738</v>
      </c>
      <c r="D16" s="3" t="n">
        <v>8788.434999999999</v>
      </c>
      <c r="E16" s="3" t="n">
        <v>9491.813</v>
      </c>
      <c r="F16" s="3" t="n">
        <v>438.545</v>
      </c>
      <c r="G16" s="3" t="n">
        <v>99136.83100000001</v>
      </c>
      <c r="H16" s="3" t="n">
        <v>2483.822</v>
      </c>
      <c r="I16" s="3" t="n">
        <v>7439.227</v>
      </c>
      <c r="J16" s="3" t="n">
        <v>15925.838</v>
      </c>
      <c r="K16" s="3" t="n">
        <v>1839.092</v>
      </c>
    </row>
    <row r="17">
      <c r="A17" s="1" t="inlineStr">
        <is>
          <t>ส่วนของเจ้าของรวม — ปลายปี</t>
        </is>
      </c>
      <c r="B17" s="3" t="n">
        <v>5913.129</v>
      </c>
      <c r="C17" s="3" t="n">
        <v>22614.472</v>
      </c>
      <c r="D17" s="3" t="n">
        <v>8261.867</v>
      </c>
      <c r="E17" s="3" t="n">
        <v>9787.165000000001</v>
      </c>
      <c r="F17" s="3" t="n">
        <v>476.449</v>
      </c>
      <c r="G17" s="3" t="n">
        <v>96985.65700000001</v>
      </c>
      <c r="H17" s="3" t="n">
        <v>2797.22</v>
      </c>
      <c r="I17" s="3" t="n">
        <v>7509.094</v>
      </c>
      <c r="J17" s="3" t="n">
        <v>13373.217</v>
      </c>
      <c r="K17" s="3" t="n">
        <v>1894.268</v>
      </c>
    </row>
    <row r="18">
      <c r="A18" s="1" t="inlineStr">
        <is>
          <t>หนี้สินรวม — ปลายปี</t>
        </is>
      </c>
      <c r="B18" s="3" t="n">
        <v>4423.187</v>
      </c>
      <c r="C18" s="3" t="n">
        <v>40113.547</v>
      </c>
      <c r="D18" s="3" t="n">
        <v>31460.24</v>
      </c>
      <c r="E18" s="3" t="n">
        <v>16672.762</v>
      </c>
      <c r="F18" s="3" t="n">
        <v>168.877</v>
      </c>
      <c r="G18" s="3" t="n">
        <v>260344.009</v>
      </c>
      <c r="H18" s="3" t="n">
        <v>3250.326</v>
      </c>
      <c r="I18" s="3" t="n">
        <v>752.8819999999999</v>
      </c>
      <c r="J18" s="3" t="n">
        <v>19630.194</v>
      </c>
      <c r="K18" s="3" t="n">
        <v>3875.886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อัตราส่วน FY2568 — ฐาน CFA (=สูตรสด อ้างอิงชีต Inputs)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s="2" t="inlineStr">
        <is>
          <t>อัตราส่วน</t>
        </is>
      </c>
      <c r="B2" s="2" t="inlineStr">
        <is>
          <t>ASIA</t>
        </is>
      </c>
      <c r="C2" s="2" t="inlineStr">
        <is>
          <t>CENTEL</t>
        </is>
      </c>
      <c r="D2" s="2" t="inlineStr">
        <is>
          <t>DUSIT</t>
        </is>
      </c>
      <c r="E2" s="2" t="inlineStr">
        <is>
          <t>ERW</t>
        </is>
      </c>
      <c r="F2" s="2" t="inlineStr">
        <is>
          <t>MANRIN</t>
        </is>
      </c>
      <c r="G2" s="2" t="inlineStr">
        <is>
          <t>MINT</t>
        </is>
      </c>
      <c r="H2" s="2" t="inlineStr">
        <is>
          <t>OHTL</t>
        </is>
      </c>
      <c r="I2" s="2" t="inlineStr">
        <is>
          <t>SHANG</t>
        </is>
      </c>
      <c r="J2" s="2" t="inlineStr">
        <is>
          <t>SHR</t>
        </is>
      </c>
      <c r="K2" s="2" t="inlineStr">
        <is>
          <t>VRANDA</t>
        </is>
      </c>
    </row>
    <row r="3">
      <c r="A3" s="1" t="inlineStr">
        <is>
          <t>NPM (%)</t>
        </is>
      </c>
      <c r="B3" s="4">
        <f>Inputs!B5/Inputs!B2</f>
        <v/>
      </c>
      <c r="C3" s="4">
        <f>Inputs!C5/Inputs!C2</f>
        <v/>
      </c>
      <c r="D3" s="4">
        <f>Inputs!D5/Inputs!D2</f>
        <v/>
      </c>
      <c r="E3" s="4">
        <f>Inputs!E5/Inputs!E2</f>
        <v/>
      </c>
      <c r="F3" s="4">
        <f>Inputs!F5/Inputs!F2</f>
        <v/>
      </c>
      <c r="G3" s="4">
        <f>Inputs!G5/Inputs!G2</f>
        <v/>
      </c>
      <c r="H3" s="4">
        <f>Inputs!H5/Inputs!H2</f>
        <v/>
      </c>
      <c r="I3" s="4">
        <f>Inputs!I5/Inputs!I2</f>
        <v/>
      </c>
      <c r="J3" s="4">
        <f>Inputs!J5/Inputs!J2</f>
        <v/>
      </c>
      <c r="K3" s="4">
        <f>Inputs!K5/Inputs!K2</f>
        <v/>
      </c>
    </row>
    <row r="4">
      <c r="A4" s="1" t="inlineStr">
        <is>
          <t>Gross Margin (%)</t>
        </is>
      </c>
      <c r="B4" s="4">
        <f>((Inputs!B2-Inputs!B3)-Inputs!B4)/(Inputs!B2-Inputs!B3)</f>
        <v/>
      </c>
      <c r="C4" s="4">
        <f>((Inputs!C2-Inputs!C3)-Inputs!C4)/(Inputs!C2-Inputs!C3)</f>
        <v/>
      </c>
      <c r="D4" s="4">
        <f>((Inputs!D2-Inputs!D3)-Inputs!D4)/(Inputs!D2-Inputs!D3)</f>
        <v/>
      </c>
      <c r="E4" s="4">
        <f>((Inputs!E2-Inputs!E3)-Inputs!E4)/(Inputs!E2-Inputs!E3)</f>
        <v/>
      </c>
      <c r="F4" s="4">
        <f>((Inputs!F2-Inputs!F3)-Inputs!F4)/(Inputs!F2-Inputs!F3)</f>
        <v/>
      </c>
      <c r="G4" s="4">
        <f>((Inputs!G2-Inputs!G3)-Inputs!G4)/(Inputs!G2-Inputs!G3)</f>
        <v/>
      </c>
      <c r="H4" s="4">
        <f>((Inputs!H2-Inputs!H3)-Inputs!H4)/(Inputs!H2-Inputs!H3)</f>
        <v/>
      </c>
      <c r="I4" s="4">
        <f>((Inputs!I2-Inputs!I3)-Inputs!I4)/(Inputs!I2-Inputs!I3)</f>
        <v/>
      </c>
      <c r="J4" s="4">
        <f>((Inputs!J2-Inputs!J3)-Inputs!J4)/(Inputs!J2-Inputs!J3)</f>
        <v/>
      </c>
      <c r="K4" s="4">
        <f>((Inputs!K2-Inputs!K3)-Inputs!K4)/(Inputs!K2-Inputs!K3)</f>
        <v/>
      </c>
    </row>
    <row r="5">
      <c r="A5" s="1" t="inlineStr">
        <is>
          <t>ROA (%)</t>
        </is>
      </c>
      <c r="B5" s="4">
        <f>Inputs!B5/((Inputs!B13+Inputs!B14)/2)</f>
        <v/>
      </c>
      <c r="C5" s="4">
        <f>Inputs!C5/((Inputs!C13+Inputs!C14)/2)</f>
        <v/>
      </c>
      <c r="D5" s="4">
        <f>Inputs!D5/((Inputs!D13+Inputs!D14)/2)</f>
        <v/>
      </c>
      <c r="E5" s="4">
        <f>Inputs!E5/((Inputs!E13+Inputs!E14)/2)</f>
        <v/>
      </c>
      <c r="F5" s="4">
        <f>Inputs!F5/((Inputs!F13+Inputs!F14)/2)</f>
        <v/>
      </c>
      <c r="G5" s="4">
        <f>Inputs!G5/((Inputs!G13+Inputs!G14)/2)</f>
        <v/>
      </c>
      <c r="H5" s="4">
        <f>Inputs!H5/((Inputs!H13+Inputs!H14)/2)</f>
        <v/>
      </c>
      <c r="I5" s="4">
        <f>Inputs!I5/((Inputs!I13+Inputs!I14)/2)</f>
        <v/>
      </c>
      <c r="J5" s="4">
        <f>Inputs!J5/((Inputs!J13+Inputs!J14)/2)</f>
        <v/>
      </c>
      <c r="K5" s="4">
        <f>Inputs!K5/((Inputs!K13+Inputs!K14)/2)</f>
        <v/>
      </c>
    </row>
    <row r="6">
      <c r="A6" s="1" t="inlineStr">
        <is>
          <t>ROE รวม (%)</t>
        </is>
      </c>
      <c r="B6" s="4">
        <f>Inputs!B5/((Inputs!B15+Inputs!B16)/2)</f>
        <v/>
      </c>
      <c r="C6" s="4">
        <f>Inputs!C5/((Inputs!C15+Inputs!C16)/2)</f>
        <v/>
      </c>
      <c r="D6" s="4">
        <f>Inputs!D5/((Inputs!D15+Inputs!D16)/2)</f>
        <v/>
      </c>
      <c r="E6" s="4">
        <f>Inputs!E5/((Inputs!E15+Inputs!E16)/2)</f>
        <v/>
      </c>
      <c r="F6" s="4">
        <f>Inputs!F5/((Inputs!F15+Inputs!F16)/2)</f>
        <v/>
      </c>
      <c r="G6" s="4">
        <f>Inputs!G5/((Inputs!G15+Inputs!G16)/2)</f>
        <v/>
      </c>
      <c r="H6" s="4">
        <f>Inputs!H5/((Inputs!H15+Inputs!H16)/2)</f>
        <v/>
      </c>
      <c r="I6" s="4">
        <f>Inputs!I5/((Inputs!I15+Inputs!I16)/2)</f>
        <v/>
      </c>
      <c r="J6" s="4">
        <f>Inputs!J5/((Inputs!J15+Inputs!J16)/2)</f>
        <v/>
      </c>
      <c r="K6" s="4">
        <f>Inputs!K5/((Inputs!K15+Inputs!K16)/2)</f>
        <v/>
      </c>
    </row>
    <row r="7">
      <c r="A7" s="1" t="inlineStr">
        <is>
          <t>ROE ส่วนแม่ (%)</t>
        </is>
      </c>
      <c r="B7" s="4">
        <f>Inputs!B6/((Inputs!B15+Inputs!B16)/2)</f>
        <v/>
      </c>
      <c r="C7" s="4">
        <f>Inputs!C6/((Inputs!C15+Inputs!C16)/2)</f>
        <v/>
      </c>
      <c r="D7" s="4">
        <f>Inputs!D6/((Inputs!D15+Inputs!D16)/2)</f>
        <v/>
      </c>
      <c r="E7" s="4">
        <f>Inputs!E6/((Inputs!E15+Inputs!E16)/2)</f>
        <v/>
      </c>
      <c r="F7" s="4">
        <f>Inputs!F6/((Inputs!F15+Inputs!F16)/2)</f>
        <v/>
      </c>
      <c r="G7" s="4">
        <f>Inputs!G6/((Inputs!G15+Inputs!G16)/2)</f>
        <v/>
      </c>
      <c r="H7" s="4">
        <f>Inputs!H6/((Inputs!H15+Inputs!H16)/2)</f>
        <v/>
      </c>
      <c r="I7" s="4">
        <f>Inputs!I6/((Inputs!I15+Inputs!I16)/2)</f>
        <v/>
      </c>
      <c r="J7" s="4">
        <f>Inputs!J6/((Inputs!J15+Inputs!J16)/2)</f>
        <v/>
      </c>
      <c r="K7" s="4">
        <f>Inputs!K6/((Inputs!K15+Inputs!K16)/2)</f>
        <v/>
      </c>
    </row>
    <row r="8">
      <c r="A8" s="1" t="inlineStr">
        <is>
          <t>DSO (วัน)</t>
        </is>
      </c>
      <c r="B8" s="5">
        <f>((Inputs!B7+Inputs!B8)/2)/Inputs!B2*365</f>
        <v/>
      </c>
      <c r="C8" s="5">
        <f>((Inputs!C7+Inputs!C8)/2)/Inputs!C2*365</f>
        <v/>
      </c>
      <c r="D8" s="5">
        <f>((Inputs!D7+Inputs!D8)/2)/Inputs!D2*365</f>
        <v/>
      </c>
      <c r="E8" s="5">
        <f>((Inputs!E7+Inputs!E8)/2)/Inputs!E2*365</f>
        <v/>
      </c>
      <c r="F8" s="5">
        <f>((Inputs!F7+Inputs!F8)/2)/Inputs!F2*365</f>
        <v/>
      </c>
      <c r="G8" s="5">
        <f>((Inputs!G7+Inputs!G8)/2)/Inputs!G2*365</f>
        <v/>
      </c>
      <c r="H8" s="5">
        <f>((Inputs!H7+Inputs!H8)/2)/Inputs!H2*365</f>
        <v/>
      </c>
      <c r="I8" s="5">
        <f>((Inputs!I7+Inputs!I8)/2)/Inputs!I2*365</f>
        <v/>
      </c>
      <c r="J8" s="5">
        <f>((Inputs!J7+Inputs!J8)/2)/Inputs!J2*365</f>
        <v/>
      </c>
      <c r="K8" s="5">
        <f>((Inputs!K7+Inputs!K8)/2)/Inputs!K2*365</f>
        <v/>
      </c>
    </row>
    <row r="9">
      <c r="A9" s="1" t="inlineStr">
        <is>
          <t>DIO (วัน)</t>
        </is>
      </c>
      <c r="B9" s="5">
        <f>((Inputs!B9+Inputs!B10)/2)/Inputs!B4*365</f>
        <v/>
      </c>
      <c r="C9" s="5">
        <f>((Inputs!C9+Inputs!C10)/2)/Inputs!C4*365</f>
        <v/>
      </c>
      <c r="D9" s="5">
        <f>((Inputs!D9+Inputs!D10)/2)/Inputs!D4*365</f>
        <v/>
      </c>
      <c r="E9" s="5">
        <f>((Inputs!E9+Inputs!E10)/2)/Inputs!E4*365</f>
        <v/>
      </c>
      <c r="F9" s="5">
        <f>((Inputs!F9+Inputs!F10)/2)/Inputs!F4*365</f>
        <v/>
      </c>
      <c r="G9" s="5">
        <f>((Inputs!G9+Inputs!G10)/2)/Inputs!G4*365</f>
        <v/>
      </c>
      <c r="H9" s="5">
        <f>((Inputs!H9+Inputs!H10)/2)/Inputs!H4*365</f>
        <v/>
      </c>
      <c r="I9" s="5">
        <f>((Inputs!I9+Inputs!I10)/2)/Inputs!I4*365</f>
        <v/>
      </c>
      <c r="J9" s="5">
        <f>((Inputs!J9+Inputs!J10)/2)/Inputs!J4*365</f>
        <v/>
      </c>
      <c r="K9" s="5">
        <f>((Inputs!K9+Inputs!K10)/2)/Inputs!K4*365</f>
        <v/>
      </c>
    </row>
    <row r="10">
      <c r="A10" s="1" t="inlineStr">
        <is>
          <t>DPO (วัน)</t>
        </is>
      </c>
      <c r="B10" s="5">
        <f>((Inputs!B11+Inputs!B12)/2)/Inputs!B4*365</f>
        <v/>
      </c>
      <c r="C10" s="5">
        <f>((Inputs!C11+Inputs!C12)/2)/Inputs!C4*365</f>
        <v/>
      </c>
      <c r="D10" s="5">
        <f>((Inputs!D11+Inputs!D12)/2)/Inputs!D4*365</f>
        <v/>
      </c>
      <c r="E10" s="5">
        <f>((Inputs!E11+Inputs!E12)/2)/Inputs!E4*365</f>
        <v/>
      </c>
      <c r="F10" s="5">
        <f>((Inputs!F11+Inputs!F12)/2)/Inputs!F4*365</f>
        <v/>
      </c>
      <c r="G10" s="5">
        <f>((Inputs!G11+Inputs!G12)/2)/Inputs!G4*365</f>
        <v/>
      </c>
      <c r="H10" s="5">
        <f>((Inputs!H11+Inputs!H12)/2)/Inputs!H4*365</f>
        <v/>
      </c>
      <c r="I10" s="5">
        <f>((Inputs!I11+Inputs!I12)/2)/Inputs!I4*365</f>
        <v/>
      </c>
      <c r="J10" s="5">
        <f>((Inputs!J11+Inputs!J12)/2)/Inputs!J4*365</f>
        <v/>
      </c>
      <c r="K10" s="5">
        <f>((Inputs!K11+Inputs!K12)/2)/Inputs!K4*365</f>
        <v/>
      </c>
    </row>
    <row r="11">
      <c r="A11" s="1" t="inlineStr">
        <is>
          <t>CCC (วัน) = DSO+DIO−DPO</t>
        </is>
      </c>
      <c r="B11" s="5">
        <f>B8+B9-B10</f>
        <v/>
      </c>
      <c r="C11" s="5">
        <f>C8+C9-C10</f>
        <v/>
      </c>
      <c r="D11" s="5">
        <f>D8+D9-D10</f>
        <v/>
      </c>
      <c r="E11" s="5">
        <f>E8+E9-E10</f>
        <v/>
      </c>
      <c r="F11" s="5">
        <f>F8+F9-F10</f>
        <v/>
      </c>
      <c r="G11" s="5">
        <f>G8+G9-G10</f>
        <v/>
      </c>
      <c r="H11" s="5">
        <f>H8+H9-H10</f>
        <v/>
      </c>
      <c r="I11" s="5">
        <f>I8+I9-I10</f>
        <v/>
      </c>
      <c r="J11" s="5">
        <f>J8+J9-J10</f>
        <v/>
      </c>
      <c r="K11" s="5">
        <f>K8+K9-K10</f>
        <v/>
      </c>
    </row>
    <row r="12">
      <c r="A12" s="1" t="inlineStr">
        <is>
          <t>D/E (เท่า)</t>
        </is>
      </c>
      <c r="B12" s="5">
        <f>Inputs!B17/Inputs!B16</f>
        <v/>
      </c>
      <c r="C12" s="5">
        <f>Inputs!C17/Inputs!C16</f>
        <v/>
      </c>
      <c r="D12" s="5">
        <f>Inputs!D17/Inputs!D16</f>
        <v/>
      </c>
      <c r="E12" s="5">
        <f>Inputs!E17/Inputs!E16</f>
        <v/>
      </c>
      <c r="F12" s="5">
        <f>Inputs!F17/Inputs!F16</f>
        <v/>
      </c>
      <c r="G12" s="5">
        <f>Inputs!G17/Inputs!G16</f>
        <v/>
      </c>
      <c r="H12" s="5">
        <f>Inputs!H17/Inputs!H16</f>
        <v/>
      </c>
      <c r="I12" s="5">
        <f>Inputs!I17/Inputs!I16</f>
        <v/>
      </c>
      <c r="J12" s="5">
        <f>Inputs!J17/Inputs!J16</f>
        <v/>
      </c>
      <c r="K12" s="5">
        <f>Inputs!K17/Inputs!K16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ไฟล์นี้ = เวอร์ชัน 'ผูกสูตรสด' ของ ratios_report</t>
        </is>
      </c>
    </row>
    <row r="2">
      <c r="A2" t="inlineStr"/>
    </row>
    <row r="3">
      <c r="A3" t="inlineStr">
        <is>
          <t>ชีต Inputs  : ตัวเลขดิบจากงบตรวจสอบ (ช่องเหลือง) — แก้ได้ ถ้าแก้แล้วอัตราส่วนอัปเดตเอง</t>
        </is>
      </c>
    </row>
    <row r="4">
      <c r="A4" t="inlineStr">
        <is>
          <t>ชีต Ratios  : ทุกช่องเป็น =สูตร Excel สด ที่อ้างอิงกลับไปชีต Inputs (คลิกดูสูตรได้)</t>
        </is>
      </c>
    </row>
    <row r="5">
      <c r="A5" t="inlineStr"/>
    </row>
    <row r="6">
      <c r="A6" t="inlineStr">
        <is>
          <t>สูตรที่ผูกไว้ (ฐาน CFA, ค่าเฉลี่ยงบดุลต้นปี-ปลายปี, 365 วัน):</t>
        </is>
      </c>
    </row>
    <row r="7">
      <c r="A7" t="inlineStr">
        <is>
          <t xml:space="preserve">  NPM         = กำไรสุทธิ / รายได้รวม</t>
        </is>
      </c>
    </row>
    <row r="8">
      <c r="A8" t="inlineStr">
        <is>
          <t xml:space="preserve">  Gross Margin= (รายได้ดำเนินงาน − ต้นทุนขาย) / รายได้ดำเนินงาน   [รายได้ดำเนินงาน = รายได้รวม − รายได้อื่น]</t>
        </is>
      </c>
    </row>
    <row r="9">
      <c r="A9" t="inlineStr">
        <is>
          <t xml:space="preserve">  ROA         = กำไรสุทธิ / เฉลี่ย(สินทรัพย์รวม ต้นปี, ปลายปี)</t>
        </is>
      </c>
    </row>
    <row r="10">
      <c r="A10" t="inlineStr">
        <is>
          <t xml:space="preserve">  ROE         = กำไรสุทธิ / เฉลี่ย(ส่วนของเจ้าของ ต้นปี, ปลายปี)</t>
        </is>
      </c>
    </row>
    <row r="11">
      <c r="A11" t="inlineStr">
        <is>
          <t xml:space="preserve">  DSO         = เฉลี่ย(ลูกหนี้การค้า) / รายได้รวม × 365</t>
        </is>
      </c>
    </row>
    <row r="12">
      <c r="A12" t="inlineStr">
        <is>
          <t xml:space="preserve">  DIO         = เฉลี่ย(สินค้าคงเหลือ) / ต้นทุนขาย × 365</t>
        </is>
      </c>
    </row>
    <row r="13">
      <c r="A13" t="inlineStr">
        <is>
          <t xml:space="preserve">  DPO         = เฉลี่ย(เจ้าหนี้การค้า) / ต้นทุนขาย × 365</t>
        </is>
      </c>
    </row>
    <row r="14">
      <c r="A14" t="inlineStr">
        <is>
          <t xml:space="preserve">  CCC         = DSO + DIO − DPO</t>
        </is>
      </c>
    </row>
    <row r="15">
      <c r="A15" t="inlineStr">
        <is>
          <t xml:space="preserve">  D/E         = หนี้สินรวม(ปลายปี) / ส่วนของเจ้าของ(ปลายปี)</t>
        </is>
      </c>
    </row>
    <row r="16">
      <c r="A16" t="inlineStr"/>
    </row>
    <row r="17">
      <c r="A17" t="inlineStr">
        <is>
          <t>หมายเหตุ: ค่าที่ได้จะตรงกับ Summary_FY ในไฟล์ ratios_report.xlsx ทุกตัว</t>
        </is>
      </c>
    </row>
    <row r="18">
      <c r="A18" t="inlineStr">
        <is>
          <t xml:space="preserve">         (ไฟล์นั้นเป็นค่า hardcoded, ไฟล์นี้เป็นสูตรสดเพื่อตรวจสอบ/แก้ input ได้)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2026-07-23T16:31:02Z</dcterms:created>
  <dcterms:modified xmlns:dcterms="http://purl.org/dc/terms/" xmlns:xsi="http://www.w3.org/2001/XMLSchema-instance" xsi:type="dcterms:W3CDTF">2026-07-23T16:31:02Z</dcterms:modified>
</cp:coreProperties>
</file>