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Y" sheetId="1" state="visible" r:id="rId1"/>
    <sheet xmlns:r="http://schemas.openxmlformats.org/officeDocument/2006/relationships" name="FY_Inputs" sheetId="2" state="visible" r:id="rId2"/>
    <sheet xmlns:r="http://schemas.openxmlformats.org/officeDocument/2006/relationships" name="Quarterly_Ratios" sheetId="3" state="visible" r:id="rId3"/>
    <sheet xmlns:r="http://schemas.openxmlformats.org/officeDocument/2006/relationships" name="IS_Flow" sheetId="4" state="visible" r:id="rId4"/>
    <sheet xmlns:r="http://schemas.openxmlformats.org/officeDocument/2006/relationships" name="BS_Timeline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 wrapText="1"/>
    </xf>
    <xf numFmtId="0" fontId="2" fillId="5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อัตราส่วนรายปี FY2568 — ฐาน CFA (=สูตรสด อ้าง FY_Inputs)</t>
        </is>
      </c>
    </row>
    <row r="2">
      <c r="A2" s="2" t="inlineStr">
        <is>
          <t>อัตราส่วน</t>
        </is>
      </c>
      <c r="B2" s="2" t="inlineStr">
        <is>
          <t>ASIA</t>
        </is>
      </c>
      <c r="C2" s="2" t="inlineStr">
        <is>
          <t>CENTEL</t>
        </is>
      </c>
      <c r="D2" s="2" t="inlineStr">
        <is>
          <t>DUSIT</t>
        </is>
      </c>
      <c r="E2" s="2" t="inlineStr">
        <is>
          <t>ERW</t>
        </is>
      </c>
      <c r="F2" s="2" t="inlineStr">
        <is>
          <t>MANRIN</t>
        </is>
      </c>
      <c r="G2" s="2" t="inlineStr">
        <is>
          <t>MINT</t>
        </is>
      </c>
      <c r="H2" s="2" t="inlineStr">
        <is>
          <t>OHTL</t>
        </is>
      </c>
      <c r="I2" s="2" t="inlineStr">
        <is>
          <t>SHANG</t>
        </is>
      </c>
      <c r="J2" s="2" t="inlineStr">
        <is>
          <t>SHR</t>
        </is>
      </c>
      <c r="K2" s="2" t="inlineStr">
        <is>
          <t>VRANDA</t>
        </is>
      </c>
    </row>
    <row r="3">
      <c r="A3" s="1" t="inlineStr">
        <is>
          <t>NPM (%)</t>
        </is>
      </c>
      <c r="B3" s="3">
        <f>IFERROR(FY_Inputs!B6/FY_Inputs!B3,"")</f>
        <v/>
      </c>
      <c r="C3" s="3">
        <f>IFERROR(FY_Inputs!C6/FY_Inputs!C3,"")</f>
        <v/>
      </c>
      <c r="D3" s="3">
        <f>IFERROR(FY_Inputs!D6/FY_Inputs!D3,"")</f>
        <v/>
      </c>
      <c r="E3" s="3">
        <f>IFERROR(FY_Inputs!E6/FY_Inputs!E3,"")</f>
        <v/>
      </c>
      <c r="F3" s="3">
        <f>IFERROR(FY_Inputs!F6/FY_Inputs!F3,"")</f>
        <v/>
      </c>
      <c r="G3" s="3">
        <f>IFERROR(FY_Inputs!G6/FY_Inputs!G3,"")</f>
        <v/>
      </c>
      <c r="H3" s="3">
        <f>IFERROR(FY_Inputs!H6/FY_Inputs!H3,"")</f>
        <v/>
      </c>
      <c r="I3" s="3">
        <f>IFERROR(FY_Inputs!I6/FY_Inputs!I3,"")</f>
        <v/>
      </c>
      <c r="J3" s="3">
        <f>IFERROR(FY_Inputs!J6/FY_Inputs!J3,"")</f>
        <v/>
      </c>
      <c r="K3" s="3">
        <f>IFERROR(FY_Inputs!K6/FY_Inputs!K3,"")</f>
        <v/>
      </c>
    </row>
    <row r="4">
      <c r="A4" s="1" t="inlineStr">
        <is>
          <t>Gross Margin (%)</t>
        </is>
      </c>
      <c r="B4" s="3">
        <f>IFERROR(((FY_Inputs!B3-FY_Inputs!B4)-FY_Inputs!B5)/(FY_Inputs!B3-FY_Inputs!B4),"")</f>
        <v/>
      </c>
      <c r="C4" s="3">
        <f>IFERROR(((FY_Inputs!C3-FY_Inputs!C4)-FY_Inputs!C5)/(FY_Inputs!C3-FY_Inputs!C4),"")</f>
        <v/>
      </c>
      <c r="D4" s="3">
        <f>IFERROR(((FY_Inputs!D3-FY_Inputs!D4)-FY_Inputs!D5)/(FY_Inputs!D3-FY_Inputs!D4),"")</f>
        <v/>
      </c>
      <c r="E4" s="3">
        <f>IFERROR(((FY_Inputs!E3-FY_Inputs!E4)-FY_Inputs!E5)/(FY_Inputs!E3-FY_Inputs!E4),"")</f>
        <v/>
      </c>
      <c r="F4" s="3">
        <f>IFERROR(((FY_Inputs!F3-FY_Inputs!F4)-FY_Inputs!F5)/(FY_Inputs!F3-FY_Inputs!F4),"")</f>
        <v/>
      </c>
      <c r="G4" s="3">
        <f>IFERROR(((FY_Inputs!G3-FY_Inputs!G4)-FY_Inputs!G5)/(FY_Inputs!G3-FY_Inputs!G4),"")</f>
        <v/>
      </c>
      <c r="H4" s="3">
        <f>IFERROR(((FY_Inputs!H3-FY_Inputs!H4)-FY_Inputs!H5)/(FY_Inputs!H3-FY_Inputs!H4),"")</f>
        <v/>
      </c>
      <c r="I4" s="3">
        <f>IFERROR(((FY_Inputs!I3-FY_Inputs!I4)-FY_Inputs!I5)/(FY_Inputs!I3-FY_Inputs!I4),"")</f>
        <v/>
      </c>
      <c r="J4" s="3">
        <f>IFERROR(((FY_Inputs!J3-FY_Inputs!J4)-FY_Inputs!J5)/(FY_Inputs!J3-FY_Inputs!J4),"")</f>
        <v/>
      </c>
      <c r="K4" s="3">
        <f>IFERROR(((FY_Inputs!K3-FY_Inputs!K4)-FY_Inputs!K5)/(FY_Inputs!K3-FY_Inputs!K4),"")</f>
        <v/>
      </c>
    </row>
    <row r="5">
      <c r="A5" s="1" t="inlineStr">
        <is>
          <t>ROA (%)</t>
        </is>
      </c>
      <c r="B5" s="3">
        <f>IFERROR(FY_Inputs!B6/((FY_Inputs!B14+FY_Inputs!B15)/2),"")</f>
        <v/>
      </c>
      <c r="C5" s="3">
        <f>IFERROR(FY_Inputs!C6/((FY_Inputs!C14+FY_Inputs!C15)/2),"")</f>
        <v/>
      </c>
      <c r="D5" s="3">
        <f>IFERROR(FY_Inputs!D6/((FY_Inputs!D14+FY_Inputs!D15)/2),"")</f>
        <v/>
      </c>
      <c r="E5" s="3">
        <f>IFERROR(FY_Inputs!E6/((FY_Inputs!E14+FY_Inputs!E15)/2),"")</f>
        <v/>
      </c>
      <c r="F5" s="3">
        <f>IFERROR(FY_Inputs!F6/((FY_Inputs!F14+FY_Inputs!F15)/2),"")</f>
        <v/>
      </c>
      <c r="G5" s="3">
        <f>IFERROR(FY_Inputs!G6/((FY_Inputs!G14+FY_Inputs!G15)/2),"")</f>
        <v/>
      </c>
      <c r="H5" s="3">
        <f>IFERROR(FY_Inputs!H6/((FY_Inputs!H14+FY_Inputs!H15)/2),"")</f>
        <v/>
      </c>
      <c r="I5" s="3">
        <f>IFERROR(FY_Inputs!I6/((FY_Inputs!I14+FY_Inputs!I15)/2),"")</f>
        <v/>
      </c>
      <c r="J5" s="3">
        <f>IFERROR(FY_Inputs!J6/((FY_Inputs!J14+FY_Inputs!J15)/2),"")</f>
        <v/>
      </c>
      <c r="K5" s="3">
        <f>IFERROR(FY_Inputs!K6/((FY_Inputs!K14+FY_Inputs!K15)/2),"")</f>
        <v/>
      </c>
    </row>
    <row r="6">
      <c r="A6" s="1" t="inlineStr">
        <is>
          <t>ROE รวม (%)</t>
        </is>
      </c>
      <c r="B6" s="3">
        <f>IFERROR(FY_Inputs!B6/((FY_Inputs!B16+FY_Inputs!B17)/2),"")</f>
        <v/>
      </c>
      <c r="C6" s="3">
        <f>IFERROR(FY_Inputs!C6/((FY_Inputs!C16+FY_Inputs!C17)/2),"")</f>
        <v/>
      </c>
      <c r="D6" s="3">
        <f>IFERROR(FY_Inputs!D6/((FY_Inputs!D16+FY_Inputs!D17)/2),"")</f>
        <v/>
      </c>
      <c r="E6" s="3">
        <f>IFERROR(FY_Inputs!E6/((FY_Inputs!E16+FY_Inputs!E17)/2),"")</f>
        <v/>
      </c>
      <c r="F6" s="3">
        <f>IFERROR(FY_Inputs!F6/((FY_Inputs!F16+FY_Inputs!F17)/2),"")</f>
        <v/>
      </c>
      <c r="G6" s="3">
        <f>IFERROR(FY_Inputs!G6/((FY_Inputs!G16+FY_Inputs!G17)/2),"")</f>
        <v/>
      </c>
      <c r="H6" s="3">
        <f>IFERROR(FY_Inputs!H6/((FY_Inputs!H16+FY_Inputs!H17)/2),"")</f>
        <v/>
      </c>
      <c r="I6" s="3">
        <f>IFERROR(FY_Inputs!I6/((FY_Inputs!I16+FY_Inputs!I17)/2),"")</f>
        <v/>
      </c>
      <c r="J6" s="3">
        <f>IFERROR(FY_Inputs!J6/((FY_Inputs!J16+FY_Inputs!J17)/2),"")</f>
        <v/>
      </c>
      <c r="K6" s="3">
        <f>IFERROR(FY_Inputs!K6/((FY_Inputs!K16+FY_Inputs!K17)/2),"")</f>
        <v/>
      </c>
    </row>
    <row r="7">
      <c r="A7" s="1" t="inlineStr">
        <is>
          <t>ROE ส่วนแม่ (%)</t>
        </is>
      </c>
      <c r="B7" s="3">
        <f>IFERROR(FY_Inputs!B7/((FY_Inputs!B16+FY_Inputs!B17)/2),"")</f>
        <v/>
      </c>
      <c r="C7" s="3">
        <f>IFERROR(FY_Inputs!C7/((FY_Inputs!C16+FY_Inputs!C17)/2),"")</f>
        <v/>
      </c>
      <c r="D7" s="3">
        <f>IFERROR(FY_Inputs!D7/((FY_Inputs!D16+FY_Inputs!D17)/2),"")</f>
        <v/>
      </c>
      <c r="E7" s="3">
        <f>IFERROR(FY_Inputs!E7/((FY_Inputs!E16+FY_Inputs!E17)/2),"")</f>
        <v/>
      </c>
      <c r="F7" s="3">
        <f>IFERROR(FY_Inputs!F7/((FY_Inputs!F16+FY_Inputs!F17)/2),"")</f>
        <v/>
      </c>
      <c r="G7" s="3">
        <f>IFERROR(FY_Inputs!G7/((FY_Inputs!G16+FY_Inputs!G17)/2),"")</f>
        <v/>
      </c>
      <c r="H7" s="3">
        <f>IFERROR(FY_Inputs!H7/((FY_Inputs!H16+FY_Inputs!H17)/2),"")</f>
        <v/>
      </c>
      <c r="I7" s="3">
        <f>IFERROR(FY_Inputs!I7/((FY_Inputs!I16+FY_Inputs!I17)/2),"")</f>
        <v/>
      </c>
      <c r="J7" s="3">
        <f>IFERROR(FY_Inputs!J7/((FY_Inputs!J16+FY_Inputs!J17)/2),"")</f>
        <v/>
      </c>
      <c r="K7" s="3">
        <f>IFERROR(FY_Inputs!K7/((FY_Inputs!K16+FY_Inputs!K17)/2),"")</f>
        <v/>
      </c>
    </row>
    <row r="8">
      <c r="A8" s="1" t="inlineStr">
        <is>
          <t>DSO (วัน)</t>
        </is>
      </c>
      <c r="B8" s="4">
        <f>IFERROR(((FY_Inputs!B8+FY_Inputs!B9)/2)/FY_Inputs!B3*365,"")</f>
        <v/>
      </c>
      <c r="C8" s="4">
        <f>IFERROR(((FY_Inputs!C8+FY_Inputs!C9)/2)/FY_Inputs!C3*365,"")</f>
        <v/>
      </c>
      <c r="D8" s="4">
        <f>IFERROR(((FY_Inputs!D8+FY_Inputs!D9)/2)/FY_Inputs!D3*365,"")</f>
        <v/>
      </c>
      <c r="E8" s="4">
        <f>IFERROR(((FY_Inputs!E8+FY_Inputs!E9)/2)/FY_Inputs!E3*365,"")</f>
        <v/>
      </c>
      <c r="F8" s="4">
        <f>IFERROR(((FY_Inputs!F8+FY_Inputs!F9)/2)/FY_Inputs!F3*365,"")</f>
        <v/>
      </c>
      <c r="G8" s="4">
        <f>IFERROR(((FY_Inputs!G8+FY_Inputs!G9)/2)/FY_Inputs!G3*365,"")</f>
        <v/>
      </c>
      <c r="H8" s="4">
        <f>IFERROR(((FY_Inputs!H8+FY_Inputs!H9)/2)/FY_Inputs!H3*365,"")</f>
        <v/>
      </c>
      <c r="I8" s="4">
        <f>IFERROR(((FY_Inputs!I8+FY_Inputs!I9)/2)/FY_Inputs!I3*365,"")</f>
        <v/>
      </c>
      <c r="J8" s="4">
        <f>IFERROR(((FY_Inputs!J8+FY_Inputs!J9)/2)/FY_Inputs!J3*365,"")</f>
        <v/>
      </c>
      <c r="K8" s="4">
        <f>IFERROR(((FY_Inputs!K8+FY_Inputs!K9)/2)/FY_Inputs!K3*365,"")</f>
        <v/>
      </c>
    </row>
    <row r="9">
      <c r="A9" s="1" t="inlineStr">
        <is>
          <t>DIO (วัน)</t>
        </is>
      </c>
      <c r="B9" s="4">
        <f>IFERROR(((FY_Inputs!B10+FY_Inputs!B11)/2)/FY_Inputs!B5*365,"")</f>
        <v/>
      </c>
      <c r="C9" s="4">
        <f>IFERROR(((FY_Inputs!C10+FY_Inputs!C11)/2)/FY_Inputs!C5*365,"")</f>
        <v/>
      </c>
      <c r="D9" s="4">
        <f>IFERROR(((FY_Inputs!D10+FY_Inputs!D11)/2)/FY_Inputs!D5*365,"")</f>
        <v/>
      </c>
      <c r="E9" s="4">
        <f>IFERROR(((FY_Inputs!E10+FY_Inputs!E11)/2)/FY_Inputs!E5*365,"")</f>
        <v/>
      </c>
      <c r="F9" s="4">
        <f>IFERROR(((FY_Inputs!F10+FY_Inputs!F11)/2)/FY_Inputs!F5*365,"")</f>
        <v/>
      </c>
      <c r="G9" s="4">
        <f>IFERROR(((FY_Inputs!G10+FY_Inputs!G11)/2)/FY_Inputs!G5*365,"")</f>
        <v/>
      </c>
      <c r="H9" s="4">
        <f>IFERROR(((FY_Inputs!H10+FY_Inputs!H11)/2)/FY_Inputs!H5*365,"")</f>
        <v/>
      </c>
      <c r="I9" s="4">
        <f>IFERROR(((FY_Inputs!I10+FY_Inputs!I11)/2)/FY_Inputs!I5*365,"")</f>
        <v/>
      </c>
      <c r="J9" s="4">
        <f>IFERROR(((FY_Inputs!J10+FY_Inputs!J11)/2)/FY_Inputs!J5*365,"")</f>
        <v/>
      </c>
      <c r="K9" s="4">
        <f>IFERROR(((FY_Inputs!K10+FY_Inputs!K11)/2)/FY_Inputs!K5*365,"")</f>
        <v/>
      </c>
    </row>
    <row r="10">
      <c r="A10" s="1" t="inlineStr">
        <is>
          <t>DPO (วัน)</t>
        </is>
      </c>
      <c r="B10" s="4">
        <f>IFERROR(((FY_Inputs!B12+FY_Inputs!B13)/2)/FY_Inputs!B5*365,"")</f>
        <v/>
      </c>
      <c r="C10" s="4">
        <f>IFERROR(((FY_Inputs!C12+FY_Inputs!C13)/2)/FY_Inputs!C5*365,"")</f>
        <v/>
      </c>
      <c r="D10" s="4">
        <f>IFERROR(((FY_Inputs!D12+FY_Inputs!D13)/2)/FY_Inputs!D5*365,"")</f>
        <v/>
      </c>
      <c r="E10" s="4">
        <f>IFERROR(((FY_Inputs!E12+FY_Inputs!E13)/2)/FY_Inputs!E5*365,"")</f>
        <v/>
      </c>
      <c r="F10" s="4">
        <f>IFERROR(((FY_Inputs!F12+FY_Inputs!F13)/2)/FY_Inputs!F5*365,"")</f>
        <v/>
      </c>
      <c r="G10" s="4">
        <f>IFERROR(((FY_Inputs!G12+FY_Inputs!G13)/2)/FY_Inputs!G5*365,"")</f>
        <v/>
      </c>
      <c r="H10" s="4">
        <f>IFERROR(((FY_Inputs!H12+FY_Inputs!H13)/2)/FY_Inputs!H5*365,"")</f>
        <v/>
      </c>
      <c r="I10" s="4">
        <f>IFERROR(((FY_Inputs!I12+FY_Inputs!I13)/2)/FY_Inputs!I5*365,"")</f>
        <v/>
      </c>
      <c r="J10" s="4">
        <f>IFERROR(((FY_Inputs!J12+FY_Inputs!J13)/2)/FY_Inputs!J5*365,"")</f>
        <v/>
      </c>
      <c r="K10" s="4">
        <f>IFERROR(((FY_Inputs!K12+FY_Inputs!K13)/2)/FY_Inputs!K5*365,"")</f>
        <v/>
      </c>
    </row>
    <row r="11">
      <c r="A11" s="1" t="inlineStr">
        <is>
          <t>CCC (วัน)</t>
        </is>
      </c>
      <c r="B11" s="4">
        <f>IFERROR(B8+B9-B10,"")</f>
        <v/>
      </c>
      <c r="C11" s="4">
        <f>IFERROR(C8+C9-C10,"")</f>
        <v/>
      </c>
      <c r="D11" s="4">
        <f>IFERROR(D8+D9-D10,"")</f>
        <v/>
      </c>
      <c r="E11" s="4">
        <f>IFERROR(E8+E9-E10,"")</f>
        <v/>
      </c>
      <c r="F11" s="4">
        <f>IFERROR(F8+F9-F10,"")</f>
        <v/>
      </c>
      <c r="G11" s="4">
        <f>IFERROR(G8+G9-G10,"")</f>
        <v/>
      </c>
      <c r="H11" s="4">
        <f>IFERROR(H8+H9-H10,"")</f>
        <v/>
      </c>
      <c r="I11" s="4">
        <f>IFERROR(I8+I9-I10,"")</f>
        <v/>
      </c>
      <c r="J11" s="4">
        <f>IFERROR(J8+J9-J10,"")</f>
        <v/>
      </c>
      <c r="K11" s="4">
        <f>IFERROR(K8+K9-K10,"")</f>
        <v/>
      </c>
    </row>
    <row r="12">
      <c r="A12" s="1" t="inlineStr">
        <is>
          <t>D/E (เท่า)</t>
        </is>
      </c>
      <c r="B12" s="4">
        <f>IFERROR(FY_Inputs!B18/FY_Inputs!B17,"")</f>
        <v/>
      </c>
      <c r="C12" s="4">
        <f>IFERROR(FY_Inputs!C18/FY_Inputs!C17,"")</f>
        <v/>
      </c>
      <c r="D12" s="4">
        <f>IFERROR(FY_Inputs!D18/FY_Inputs!D17,"")</f>
        <v/>
      </c>
      <c r="E12" s="4">
        <f>IFERROR(FY_Inputs!E18/FY_Inputs!E17,"")</f>
        <v/>
      </c>
      <c r="F12" s="4">
        <f>IFERROR(FY_Inputs!F18/FY_Inputs!F17,"")</f>
        <v/>
      </c>
      <c r="G12" s="4">
        <f>IFERROR(FY_Inputs!G18/FY_Inputs!G17,"")</f>
        <v/>
      </c>
      <c r="H12" s="4">
        <f>IFERROR(FY_Inputs!H18/FY_Inputs!H17,"")</f>
        <v/>
      </c>
      <c r="I12" s="4">
        <f>IFERROR(FY_Inputs!I18/FY_Inputs!I17,"")</f>
        <v/>
      </c>
      <c r="J12" s="4">
        <f>IFERROR(FY_Inputs!J18/FY_Inputs!J17,"")</f>
        <v/>
      </c>
      <c r="K12" s="4">
        <f>IFERROR(FY_Inputs!K18/FY_Inputs!K17,"")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ตัวเลขดิบรายปี FY2568 (ล้านบาท) — ช่องเหลืองแก้ได้</t>
        </is>
      </c>
    </row>
    <row r="2">
      <c r="A2" s="2" t="inlineStr">
        <is>
          <t>รายการ</t>
        </is>
      </c>
      <c r="B2" s="2" t="inlineStr">
        <is>
          <t>ASIA</t>
        </is>
      </c>
      <c r="C2" s="2" t="inlineStr">
        <is>
          <t>CENTEL</t>
        </is>
      </c>
      <c r="D2" s="2" t="inlineStr">
        <is>
          <t>DUSIT</t>
        </is>
      </c>
      <c r="E2" s="2" t="inlineStr">
        <is>
          <t>ERW</t>
        </is>
      </c>
      <c r="F2" s="2" t="inlineStr">
        <is>
          <t>MANRIN</t>
        </is>
      </c>
      <c r="G2" s="2" t="inlineStr">
        <is>
          <t>MINT</t>
        </is>
      </c>
      <c r="H2" s="2" t="inlineStr">
        <is>
          <t>OHTL</t>
        </is>
      </c>
      <c r="I2" s="2" t="inlineStr">
        <is>
          <t>SHANG</t>
        </is>
      </c>
      <c r="J2" s="2" t="inlineStr">
        <is>
          <t>SHR</t>
        </is>
      </c>
      <c r="K2" s="2" t="inlineStr">
        <is>
          <t>VRANDA</t>
        </is>
      </c>
    </row>
    <row r="3">
      <c r="A3" s="1" t="inlineStr">
        <is>
          <t>รายได้รวม (FY)</t>
        </is>
      </c>
      <c r="B3" s="5" t="n">
        <v>1364.564</v>
      </c>
      <c r="C3" s="5" t="n">
        <v>25050.93</v>
      </c>
      <c r="D3" s="5" t="n">
        <v>8923.996999999999</v>
      </c>
      <c r="E3" s="5" t="n">
        <v>7937.392</v>
      </c>
      <c r="F3" s="5" t="n">
        <v>363.247</v>
      </c>
      <c r="G3" s="5" t="n">
        <v>165804.714</v>
      </c>
      <c r="H3" s="5" t="n">
        <v>2524.941</v>
      </c>
      <c r="I3" s="5" t="n">
        <v>2153.389</v>
      </c>
      <c r="J3" s="5" t="n">
        <v>10411.173</v>
      </c>
      <c r="K3" s="5" t="n">
        <v>1577.181</v>
      </c>
    </row>
    <row r="4">
      <c r="A4" s="1" t="inlineStr">
        <is>
          <t>รายได้อื่น (FY)</t>
        </is>
      </c>
      <c r="B4" s="5" t="n">
        <v>80.027</v>
      </c>
      <c r="C4" s="5" t="n">
        <v>1096.979</v>
      </c>
      <c r="D4" s="5" t="n">
        <v>1013.082</v>
      </c>
      <c r="E4" s="5" t="n">
        <v>25.178</v>
      </c>
      <c r="F4" s="5" t="n">
        <v>1.015</v>
      </c>
      <c r="G4" s="5" t="n">
        <v>4275.181</v>
      </c>
      <c r="H4" s="5" t="n">
        <v>2.68</v>
      </c>
      <c r="I4" s="5" t="n">
        <v>20.237</v>
      </c>
      <c r="J4" s="5" t="n">
        <v>111.837</v>
      </c>
      <c r="K4" s="5" t="n">
        <v>46.964</v>
      </c>
    </row>
    <row r="5">
      <c r="A5" s="1" t="inlineStr">
        <is>
          <t>ต้นทุนขาย (FY)</t>
        </is>
      </c>
      <c r="B5" s="5" t="n">
        <v>942.602</v>
      </c>
      <c r="C5" s="5" t="n">
        <v>13356.611</v>
      </c>
      <c r="D5" s="5" t="n">
        <v>5378.316</v>
      </c>
      <c r="E5" s="5" t="n">
        <v>3265.028</v>
      </c>
      <c r="F5" s="5" t="n">
        <v>213.736</v>
      </c>
      <c r="G5" s="5" t="n">
        <v>86221.785</v>
      </c>
      <c r="H5" s="5" t="n">
        <v>1332.588</v>
      </c>
      <c r="I5" s="5" t="n">
        <v>695.217</v>
      </c>
      <c r="J5" s="5" t="n">
        <v>6279.64</v>
      </c>
      <c r="K5" s="5" t="n">
        <v>866.224</v>
      </c>
    </row>
    <row r="6">
      <c r="A6" s="1" t="inlineStr">
        <is>
          <t>กำไรสุทธิ (รวมส่วนได้เสียไม่มีอำนาจควบคุม)</t>
        </is>
      </c>
      <c r="B6" s="5" t="n">
        <v>-3.355</v>
      </c>
      <c r="C6" s="5" t="n">
        <v>1964.146</v>
      </c>
      <c r="D6" s="5" t="n">
        <v>-470.835</v>
      </c>
      <c r="E6" s="5" t="n">
        <v>904.756</v>
      </c>
      <c r="F6" s="5" t="n">
        <v>39.818</v>
      </c>
      <c r="G6" s="5" t="n">
        <v>9839.333000000001</v>
      </c>
      <c r="H6" s="5" t="n">
        <v>313.694</v>
      </c>
      <c r="I6" s="5" t="n">
        <v>240.904</v>
      </c>
      <c r="J6" s="5" t="n">
        <v>-1586.048</v>
      </c>
      <c r="K6" s="5" t="n">
        <v>100.784</v>
      </c>
    </row>
    <row r="7">
      <c r="A7" s="1" t="inlineStr">
        <is>
          <t>กำไรสุทธิ (ส่วนของผู้ถือหุ้นบริษัทใหญ่)</t>
        </is>
      </c>
      <c r="B7" s="5" t="n">
        <v>-1.129</v>
      </c>
      <c r="C7" s="5" t="n">
        <v>1992.902</v>
      </c>
      <c r="D7" s="5" t="n">
        <v>-453.313</v>
      </c>
      <c r="E7" s="5" t="n">
        <v>838.085</v>
      </c>
      <c r="F7" s="5" t="n">
        <v>39.818</v>
      </c>
      <c r="G7" s="5" t="n">
        <v>9009.342000000001</v>
      </c>
      <c r="H7" s="5" t="n">
        <v>313.694</v>
      </c>
      <c r="I7" s="5" t="n">
        <v>240.912</v>
      </c>
      <c r="J7" s="5" t="n">
        <v>-1586.048</v>
      </c>
      <c r="K7" s="5" t="n">
        <v>100.784</v>
      </c>
    </row>
    <row r="8">
      <c r="A8" s="1" t="inlineStr">
        <is>
          <t>ลูกหนี้การค้า — ต้นปี</t>
        </is>
      </c>
      <c r="B8" s="5" t="n">
        <v>87.279</v>
      </c>
      <c r="C8" s="5" t="n">
        <v>1207.737</v>
      </c>
      <c r="D8" s="5" t="n">
        <v>1145.08</v>
      </c>
      <c r="E8" s="5" t="n">
        <v>222.438</v>
      </c>
      <c r="F8" s="5" t="n">
        <v>13.217</v>
      </c>
      <c r="G8" s="5" t="n">
        <v>13970.341</v>
      </c>
      <c r="H8" s="5" t="n">
        <v>84.202</v>
      </c>
      <c r="I8" s="5" t="n">
        <v>80.06399999999999</v>
      </c>
      <c r="J8" s="5" t="n">
        <v>475.753</v>
      </c>
      <c r="K8" s="5" t="n">
        <v>55.427</v>
      </c>
    </row>
    <row r="9">
      <c r="A9" s="1" t="inlineStr">
        <is>
          <t>ลูกหนี้การค้า — ปลายปี</t>
        </is>
      </c>
      <c r="B9" s="5" t="n">
        <v>90.57299999999999</v>
      </c>
      <c r="C9" s="5" t="n">
        <v>961.72</v>
      </c>
      <c r="D9" s="5" t="n">
        <v>1482.137</v>
      </c>
      <c r="E9" s="5" t="n">
        <v>232.438</v>
      </c>
      <c r="F9" s="5" t="n">
        <v>10.615</v>
      </c>
      <c r="G9" s="5" t="n">
        <v>15911.602</v>
      </c>
      <c r="H9" s="5" t="n">
        <v>107.373</v>
      </c>
      <c r="I9" s="5" t="n">
        <v>90.01300000000001</v>
      </c>
      <c r="J9" s="5" t="n">
        <v>406.258</v>
      </c>
      <c r="K9" s="5" t="n">
        <v>52.939</v>
      </c>
    </row>
    <row r="10">
      <c r="A10" s="1" t="inlineStr">
        <is>
          <t>สินค้าคงเหลือ — ต้นปี</t>
        </is>
      </c>
      <c r="B10" s="5" t="n">
        <v>46.247</v>
      </c>
      <c r="C10" s="5" t="n">
        <v>904.759</v>
      </c>
      <c r="D10" s="5" t="n">
        <v>130.736</v>
      </c>
      <c r="E10" s="5" t="n">
        <v>42.817</v>
      </c>
      <c r="F10" s="5" t="n">
        <v>1.626</v>
      </c>
      <c r="G10" s="5" t="n">
        <v>3917.636</v>
      </c>
      <c r="H10" s="5" t="n">
        <v>28.86</v>
      </c>
      <c r="I10" s="5" t="n">
        <v>28.732</v>
      </c>
      <c r="J10" s="5" t="n">
        <v>232.259</v>
      </c>
      <c r="K10" s="5" t="n">
        <v>16.851</v>
      </c>
    </row>
    <row r="11">
      <c r="A11" s="1" t="inlineStr">
        <is>
          <t>สินค้าคงเหลือ — ปลายปี</t>
        </is>
      </c>
      <c r="B11" s="5" t="n">
        <v>46.002</v>
      </c>
      <c r="C11" s="5" t="n">
        <v>868.216</v>
      </c>
      <c r="D11" s="5" t="n">
        <v>133.654</v>
      </c>
      <c r="E11" s="5" t="n">
        <v>40.396</v>
      </c>
      <c r="F11" s="5" t="n">
        <v>1.637</v>
      </c>
      <c r="G11" s="5" t="n">
        <v>3921.48</v>
      </c>
      <c r="H11" s="5" t="n">
        <v>36.342</v>
      </c>
      <c r="I11" s="5" t="n">
        <v>27.883</v>
      </c>
      <c r="J11" s="5" t="n">
        <v>244.432</v>
      </c>
      <c r="K11" s="5" t="n">
        <v>20.38</v>
      </c>
    </row>
    <row r="12">
      <c r="A12" s="1" t="inlineStr">
        <is>
          <t>เจ้าหนี้การค้า — ต้นปี</t>
        </is>
      </c>
      <c r="B12" s="5" t="n">
        <v>140.797</v>
      </c>
      <c r="C12" s="5" t="n">
        <v>4423.239</v>
      </c>
      <c r="D12" s="5" t="n">
        <v>1909.206</v>
      </c>
      <c r="E12" s="5" t="n">
        <v>266.009</v>
      </c>
      <c r="F12" s="5" t="n">
        <v>40.06</v>
      </c>
      <c r="G12" s="5" t="n">
        <v>24414.611</v>
      </c>
      <c r="H12" s="5" t="n">
        <v>374.801</v>
      </c>
      <c r="I12" s="5" t="n">
        <v>234.957</v>
      </c>
      <c r="J12" s="5" t="n">
        <v>975.128</v>
      </c>
      <c r="K12" s="5" t="n">
        <v>440.911</v>
      </c>
    </row>
    <row r="13">
      <c r="A13" s="1" t="inlineStr">
        <is>
          <t>เจ้าหนี้การค้า — ปลายปี</t>
        </is>
      </c>
      <c r="B13" s="5" t="n">
        <v>150.322</v>
      </c>
      <c r="C13" s="5" t="n">
        <v>3929.778</v>
      </c>
      <c r="D13" s="5" t="n">
        <v>2068.782</v>
      </c>
      <c r="E13" s="5" t="n">
        <v>257.323</v>
      </c>
      <c r="F13" s="5" t="n">
        <v>30.444</v>
      </c>
      <c r="G13" s="5" t="n">
        <v>25606.359</v>
      </c>
      <c r="H13" s="5" t="n">
        <v>598.6420000000001</v>
      </c>
      <c r="I13" s="5" t="n">
        <v>259.24</v>
      </c>
      <c r="J13" s="5" t="n">
        <v>1009.863</v>
      </c>
      <c r="K13" s="5" t="n">
        <v>238.739</v>
      </c>
    </row>
    <row r="14">
      <c r="A14" s="1" t="inlineStr">
        <is>
          <t>สินทรัพย์รวม — ต้นปี</t>
        </is>
      </c>
      <c r="B14" s="5" t="n">
        <v>10140.751</v>
      </c>
      <c r="C14" s="5" t="n">
        <v>60760.633</v>
      </c>
      <c r="D14" s="5" t="n">
        <v>38270.77</v>
      </c>
      <c r="E14" s="5" t="n">
        <v>26246.078</v>
      </c>
      <c r="F14" s="5" t="n">
        <v>691.668</v>
      </c>
      <c r="G14" s="5" t="n">
        <v>346844.932</v>
      </c>
      <c r="H14" s="5" t="n">
        <v>5742.7</v>
      </c>
      <c r="I14" s="5" t="n">
        <v>8067.434</v>
      </c>
      <c r="J14" s="5" t="n">
        <v>36325.359</v>
      </c>
      <c r="K14" s="5" t="n">
        <v>5614.758</v>
      </c>
    </row>
    <row r="15">
      <c r="A15" s="1" t="inlineStr">
        <is>
          <t>สินทรัพย์รวม — ปลายปี</t>
        </is>
      </c>
      <c r="B15" s="5" t="n">
        <v>10336.316</v>
      </c>
      <c r="C15" s="5" t="n">
        <v>62728.019</v>
      </c>
      <c r="D15" s="5" t="n">
        <v>39722.107</v>
      </c>
      <c r="E15" s="5" t="n">
        <v>26459.926</v>
      </c>
      <c r="F15" s="5" t="n">
        <v>645.327</v>
      </c>
      <c r="G15" s="5" t="n">
        <v>357329.667</v>
      </c>
      <c r="H15" s="5" t="n">
        <v>6047.546</v>
      </c>
      <c r="I15" s="5" t="n">
        <v>8261.976000000001</v>
      </c>
      <c r="J15" s="5" t="n">
        <v>33003.412</v>
      </c>
      <c r="K15" s="5" t="n">
        <v>5770.154</v>
      </c>
    </row>
    <row r="16">
      <c r="A16" s="1" t="inlineStr">
        <is>
          <t>ส่วนของเจ้าของรวม — ต้นปี</t>
        </is>
      </c>
      <c r="B16" s="5" t="n">
        <v>6008.757</v>
      </c>
      <c r="C16" s="5" t="n">
        <v>20949.738</v>
      </c>
      <c r="D16" s="5" t="n">
        <v>8788.434999999999</v>
      </c>
      <c r="E16" s="5" t="n">
        <v>9491.813</v>
      </c>
      <c r="F16" s="5" t="n">
        <v>438.545</v>
      </c>
      <c r="G16" s="5" t="n">
        <v>99136.83100000001</v>
      </c>
      <c r="H16" s="5" t="n">
        <v>2483.822</v>
      </c>
      <c r="I16" s="5" t="n">
        <v>7439.227</v>
      </c>
      <c r="J16" s="5" t="n">
        <v>15925.838</v>
      </c>
      <c r="K16" s="5" t="n">
        <v>1839.092</v>
      </c>
    </row>
    <row r="17">
      <c r="A17" s="1" t="inlineStr">
        <is>
          <t>ส่วนของเจ้าของรวม — ปลายปี</t>
        </is>
      </c>
      <c r="B17" s="5" t="n">
        <v>5913.129</v>
      </c>
      <c r="C17" s="5" t="n">
        <v>22614.472</v>
      </c>
      <c r="D17" s="5" t="n">
        <v>8261.867</v>
      </c>
      <c r="E17" s="5" t="n">
        <v>9787.165000000001</v>
      </c>
      <c r="F17" s="5" t="n">
        <v>476.449</v>
      </c>
      <c r="G17" s="5" t="n">
        <v>96985.65700000001</v>
      </c>
      <c r="H17" s="5" t="n">
        <v>2797.22</v>
      </c>
      <c r="I17" s="5" t="n">
        <v>7509.094</v>
      </c>
      <c r="J17" s="5" t="n">
        <v>13373.217</v>
      </c>
      <c r="K17" s="5" t="n">
        <v>1894.268</v>
      </c>
    </row>
    <row r="18">
      <c r="A18" s="1" t="inlineStr">
        <is>
          <t>หนี้สินรวม — ปลายปี</t>
        </is>
      </c>
      <c r="B18" s="5" t="n">
        <v>4423.187</v>
      </c>
      <c r="C18" s="5" t="n">
        <v>40113.547</v>
      </c>
      <c r="D18" s="5" t="n">
        <v>31460.24</v>
      </c>
      <c r="E18" s="5" t="n">
        <v>16672.762</v>
      </c>
      <c r="F18" s="5" t="n">
        <v>168.877</v>
      </c>
      <c r="G18" s="5" t="n">
        <v>260344.009</v>
      </c>
      <c r="H18" s="5" t="n">
        <v>3250.326</v>
      </c>
      <c r="I18" s="5" t="n">
        <v>752.8819999999999</v>
      </c>
      <c r="J18" s="5" t="n">
        <v>19630.194</v>
      </c>
      <c r="K18" s="5" t="n">
        <v>3875.886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6" t="inlineStr">
        <is>
          <t>ตัวชี้วัด</t>
        </is>
      </c>
      <c r="B1" s="6" t="inlineStr">
        <is>
          <t>Q1/2564</t>
        </is>
      </c>
      <c r="C1" s="6" t="inlineStr">
        <is>
          <t>Q2/2564</t>
        </is>
      </c>
      <c r="D1" s="6" t="inlineStr">
        <is>
          <t>Q3/2564</t>
        </is>
      </c>
      <c r="E1" s="6" t="inlineStr">
        <is>
          <t>Q4/2564</t>
        </is>
      </c>
      <c r="F1" s="6" t="inlineStr">
        <is>
          <t>Q1/2565</t>
        </is>
      </c>
      <c r="G1" s="6" t="inlineStr">
        <is>
          <t>Q2/2565</t>
        </is>
      </c>
      <c r="H1" s="6" t="inlineStr">
        <is>
          <t>Q3/2565</t>
        </is>
      </c>
      <c r="I1" s="6" t="inlineStr">
        <is>
          <t>Q4/2565</t>
        </is>
      </c>
      <c r="J1" s="6" t="inlineStr">
        <is>
          <t>Q1/2566</t>
        </is>
      </c>
      <c r="K1" s="6" t="inlineStr">
        <is>
          <t>Q2/2566</t>
        </is>
      </c>
      <c r="L1" s="6" t="inlineStr">
        <is>
          <t>Q3/2566</t>
        </is>
      </c>
      <c r="M1" s="6" t="inlineStr">
        <is>
          <t>Q4/2566</t>
        </is>
      </c>
      <c r="N1" s="6" t="inlineStr">
        <is>
          <t>Q1/2567</t>
        </is>
      </c>
      <c r="O1" s="6" t="inlineStr">
        <is>
          <t>Q2/2567</t>
        </is>
      </c>
      <c r="P1" s="6" t="inlineStr">
        <is>
          <t>Q3/2567</t>
        </is>
      </c>
      <c r="Q1" s="6" t="inlineStr">
        <is>
          <t>Q4/2567</t>
        </is>
      </c>
      <c r="R1" s="6" t="inlineStr">
        <is>
          <t>Q1/2568</t>
        </is>
      </c>
      <c r="S1" s="6" t="inlineStr">
        <is>
          <t>Q2/2568</t>
        </is>
      </c>
      <c r="T1" s="6" t="inlineStr">
        <is>
          <t>Q3/2568</t>
        </is>
      </c>
      <c r="U1" s="6" t="inlineStr">
        <is>
          <t>Q4/2568</t>
        </is>
      </c>
    </row>
    <row r="2">
      <c r="A2" s="7" t="inlineStr">
        <is>
          <t>■ ASIA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  <row r="3">
      <c r="A3" s="1" t="inlineStr">
        <is>
          <t>รายได้รวม (ล้านบาท)</t>
        </is>
      </c>
      <c r="B3" s="4">
        <f>IS_Flow!B3</f>
        <v/>
      </c>
      <c r="C3" s="4">
        <f>IS_Flow!C3</f>
        <v/>
      </c>
      <c r="D3" s="4">
        <f>IS_Flow!D3</f>
        <v/>
      </c>
      <c r="E3" s="4">
        <f>IS_Flow!E3</f>
        <v/>
      </c>
      <c r="F3" s="4">
        <f>IS_Flow!G3</f>
        <v/>
      </c>
      <c r="G3" s="4">
        <f>IS_Flow!H3</f>
        <v/>
      </c>
      <c r="H3" s="4">
        <f>IS_Flow!I3</f>
        <v/>
      </c>
      <c r="I3" s="4">
        <f>IS_Flow!J3</f>
        <v/>
      </c>
      <c r="J3" s="4">
        <f>IS_Flow!L3</f>
        <v/>
      </c>
      <c r="K3" s="4">
        <f>IS_Flow!M3</f>
        <v/>
      </c>
      <c r="L3" s="4">
        <f>IS_Flow!N3</f>
        <v/>
      </c>
      <c r="M3" s="4">
        <f>IS_Flow!O3</f>
        <v/>
      </c>
      <c r="N3" s="4">
        <f>IS_Flow!Q3</f>
        <v/>
      </c>
      <c r="O3" s="4">
        <f>IS_Flow!R3</f>
        <v/>
      </c>
      <c r="P3" s="4">
        <f>IS_Flow!S3</f>
        <v/>
      </c>
      <c r="Q3" s="4">
        <f>IS_Flow!T3</f>
        <v/>
      </c>
      <c r="R3" s="4">
        <f>IS_Flow!V3</f>
        <v/>
      </c>
      <c r="S3" s="4">
        <f>IS_Flow!W3</f>
        <v/>
      </c>
      <c r="T3" s="4">
        <f>IS_Flow!X3</f>
        <v/>
      </c>
      <c r="U3" s="4">
        <f>IS_Flow!Y3</f>
        <v/>
      </c>
    </row>
    <row r="4">
      <c r="A4" s="1" t="inlineStr">
        <is>
          <t>ต้นทุนขาย (ล้านบาท)</t>
        </is>
      </c>
      <c r="B4" s="4">
        <f>IS_Flow!B5</f>
        <v/>
      </c>
      <c r="C4" s="4">
        <f>IS_Flow!C5</f>
        <v/>
      </c>
      <c r="D4" s="4">
        <f>IS_Flow!D5</f>
        <v/>
      </c>
      <c r="E4" s="4">
        <f>IS_Flow!E5</f>
        <v/>
      </c>
      <c r="F4" s="4">
        <f>IS_Flow!G5</f>
        <v/>
      </c>
      <c r="G4" s="4">
        <f>IS_Flow!H5</f>
        <v/>
      </c>
      <c r="H4" s="4">
        <f>IS_Flow!I5</f>
        <v/>
      </c>
      <c r="I4" s="4">
        <f>IS_Flow!J5</f>
        <v/>
      </c>
      <c r="J4" s="4">
        <f>IS_Flow!L5</f>
        <v/>
      </c>
      <c r="K4" s="4">
        <f>IS_Flow!M5</f>
        <v/>
      </c>
      <c r="L4" s="4">
        <f>IS_Flow!N5</f>
        <v/>
      </c>
      <c r="M4" s="4">
        <f>IS_Flow!O5</f>
        <v/>
      </c>
      <c r="N4" s="4">
        <f>IS_Flow!Q5</f>
        <v/>
      </c>
      <c r="O4" s="4">
        <f>IS_Flow!R5</f>
        <v/>
      </c>
      <c r="P4" s="4">
        <f>IS_Flow!S5</f>
        <v/>
      </c>
      <c r="Q4" s="4">
        <f>IS_Flow!T5</f>
        <v/>
      </c>
      <c r="R4" s="4">
        <f>IS_Flow!V5</f>
        <v/>
      </c>
      <c r="S4" s="4">
        <f>IS_Flow!W5</f>
        <v/>
      </c>
      <c r="T4" s="4">
        <f>IS_Flow!X5</f>
        <v/>
      </c>
      <c r="U4" s="4">
        <f>IS_Flow!Y5</f>
        <v/>
      </c>
    </row>
    <row r="5">
      <c r="A5" s="1" t="inlineStr">
        <is>
          <t>กำไรสุทธิ (ล้านบาท)</t>
        </is>
      </c>
      <c r="B5" s="4">
        <f>IS_Flow!B6</f>
        <v/>
      </c>
      <c r="C5" s="4">
        <f>IS_Flow!C6</f>
        <v/>
      </c>
      <c r="D5" s="4">
        <f>IS_Flow!D6</f>
        <v/>
      </c>
      <c r="E5" s="4">
        <f>IS_Flow!E6</f>
        <v/>
      </c>
      <c r="F5" s="4">
        <f>IS_Flow!G6</f>
        <v/>
      </c>
      <c r="G5" s="4">
        <f>IS_Flow!H6</f>
        <v/>
      </c>
      <c r="H5" s="4">
        <f>IS_Flow!I6</f>
        <v/>
      </c>
      <c r="I5" s="4">
        <f>IS_Flow!J6</f>
        <v/>
      </c>
      <c r="J5" s="4">
        <f>IS_Flow!L6</f>
        <v/>
      </c>
      <c r="K5" s="4">
        <f>IS_Flow!M6</f>
        <v/>
      </c>
      <c r="L5" s="4">
        <f>IS_Flow!N6</f>
        <v/>
      </c>
      <c r="M5" s="4">
        <f>IS_Flow!O6</f>
        <v/>
      </c>
      <c r="N5" s="4">
        <f>IS_Flow!Q6</f>
        <v/>
      </c>
      <c r="O5" s="4">
        <f>IS_Flow!R6</f>
        <v/>
      </c>
      <c r="P5" s="4">
        <f>IS_Flow!S6</f>
        <v/>
      </c>
      <c r="Q5" s="4">
        <f>IS_Flow!T6</f>
        <v/>
      </c>
      <c r="R5" s="4">
        <f>IS_Flow!V6</f>
        <v/>
      </c>
      <c r="S5" s="4">
        <f>IS_Flow!W6</f>
        <v/>
      </c>
      <c r="T5" s="4">
        <f>IS_Flow!X6</f>
        <v/>
      </c>
      <c r="U5" s="4">
        <f>IS_Flow!Y6</f>
        <v/>
      </c>
    </row>
    <row r="6">
      <c r="A6" s="1" t="inlineStr">
        <is>
          <t>NPM (%)</t>
        </is>
      </c>
      <c r="B6" s="3">
        <f>IFERROR(IS_Flow!B6/IS_Flow!B3,"")</f>
        <v/>
      </c>
      <c r="C6" s="3">
        <f>IFERROR(IS_Flow!C6/IS_Flow!C3,"")</f>
        <v/>
      </c>
      <c r="D6" s="3">
        <f>IFERROR(IS_Flow!D6/IS_Flow!D3,"")</f>
        <v/>
      </c>
      <c r="E6" s="3">
        <f>IFERROR(IS_Flow!E6/IS_Flow!E3,"")</f>
        <v/>
      </c>
      <c r="F6" s="3">
        <f>IFERROR(IS_Flow!G6/IS_Flow!G3,"")</f>
        <v/>
      </c>
      <c r="G6" s="3">
        <f>IFERROR(IS_Flow!H6/IS_Flow!H3,"")</f>
        <v/>
      </c>
      <c r="H6" s="3">
        <f>IFERROR(IS_Flow!I6/IS_Flow!I3,"")</f>
        <v/>
      </c>
      <c r="I6" s="3">
        <f>IFERROR(IS_Flow!J6/IS_Flow!J3,"")</f>
        <v/>
      </c>
      <c r="J6" s="3">
        <f>IFERROR(IS_Flow!L6/IS_Flow!L3,"")</f>
        <v/>
      </c>
      <c r="K6" s="3">
        <f>IFERROR(IS_Flow!M6/IS_Flow!M3,"")</f>
        <v/>
      </c>
      <c r="L6" s="3">
        <f>IFERROR(IS_Flow!N6/IS_Flow!N3,"")</f>
        <v/>
      </c>
      <c r="M6" s="3">
        <f>IFERROR(IS_Flow!O6/IS_Flow!O3,"")</f>
        <v/>
      </c>
      <c r="N6" s="3">
        <f>IFERROR(IS_Flow!Q6/IS_Flow!Q3,"")</f>
        <v/>
      </c>
      <c r="O6" s="3">
        <f>IFERROR(IS_Flow!R6/IS_Flow!R3,"")</f>
        <v/>
      </c>
      <c r="P6" s="3">
        <f>IFERROR(IS_Flow!S6/IS_Flow!S3,"")</f>
        <v/>
      </c>
      <c r="Q6" s="3">
        <f>IFERROR(IS_Flow!T6/IS_Flow!T3,"")</f>
        <v/>
      </c>
      <c r="R6" s="3">
        <f>IFERROR(IS_Flow!V6/IS_Flow!V3,"")</f>
        <v/>
      </c>
      <c r="S6" s="3">
        <f>IFERROR(IS_Flow!W6/IS_Flow!W3,"")</f>
        <v/>
      </c>
      <c r="T6" s="3">
        <f>IFERROR(IS_Flow!X6/IS_Flow!X3,"")</f>
        <v/>
      </c>
      <c r="U6" s="3">
        <f>IFERROR(IS_Flow!Y6/IS_Flow!Y3,"")</f>
        <v/>
      </c>
    </row>
    <row r="7">
      <c r="A7" s="1" t="inlineStr">
        <is>
          <t>Gross Margin (%)</t>
        </is>
      </c>
      <c r="B7" s="3">
        <f>IFERROR((IS_Flow!B3-IS_Flow!B4-IS_Flow!B5)/(IS_Flow!B3-IS_Flow!B4),"")</f>
        <v/>
      </c>
      <c r="C7" s="3">
        <f>IFERROR((IS_Flow!C3-IS_Flow!C4-IS_Flow!C5)/(IS_Flow!C3-IS_Flow!C4),"")</f>
        <v/>
      </c>
      <c r="D7" s="3">
        <f>IFERROR((IS_Flow!D3-IS_Flow!D4-IS_Flow!D5)/(IS_Flow!D3-IS_Flow!D4),"")</f>
        <v/>
      </c>
      <c r="E7" s="3">
        <f>IFERROR((IS_Flow!E3-IS_Flow!E4-IS_Flow!E5)/(IS_Flow!E3-IS_Flow!E4),"")</f>
        <v/>
      </c>
      <c r="F7" s="3">
        <f>IFERROR((IS_Flow!G3-IS_Flow!G4-IS_Flow!G5)/(IS_Flow!G3-IS_Flow!G4),"")</f>
        <v/>
      </c>
      <c r="G7" s="3">
        <f>IFERROR((IS_Flow!H3-IS_Flow!H4-IS_Flow!H5)/(IS_Flow!H3-IS_Flow!H4),"")</f>
        <v/>
      </c>
      <c r="H7" s="3">
        <f>IFERROR((IS_Flow!I3-IS_Flow!I4-IS_Flow!I5)/(IS_Flow!I3-IS_Flow!I4),"")</f>
        <v/>
      </c>
      <c r="I7" s="3">
        <f>IFERROR((IS_Flow!J3-IS_Flow!J4-IS_Flow!J5)/(IS_Flow!J3-IS_Flow!J4),"")</f>
        <v/>
      </c>
      <c r="J7" s="3">
        <f>IFERROR((IS_Flow!L3-IS_Flow!L4-IS_Flow!L5)/(IS_Flow!L3-IS_Flow!L4),"")</f>
        <v/>
      </c>
      <c r="K7" s="3">
        <f>IFERROR((IS_Flow!M3-IS_Flow!M4-IS_Flow!M5)/(IS_Flow!M3-IS_Flow!M4),"")</f>
        <v/>
      </c>
      <c r="L7" s="3">
        <f>IFERROR((IS_Flow!N3-IS_Flow!N4-IS_Flow!N5)/(IS_Flow!N3-IS_Flow!N4),"")</f>
        <v/>
      </c>
      <c r="M7" s="3">
        <f>IFERROR((IS_Flow!O3-IS_Flow!O4-IS_Flow!O5)/(IS_Flow!O3-IS_Flow!O4),"")</f>
        <v/>
      </c>
      <c r="N7" s="3">
        <f>IFERROR((IS_Flow!Q3-IS_Flow!Q4-IS_Flow!Q5)/(IS_Flow!Q3-IS_Flow!Q4),"")</f>
        <v/>
      </c>
      <c r="O7" s="3">
        <f>IFERROR((IS_Flow!R3-IS_Flow!R4-IS_Flow!R5)/(IS_Flow!R3-IS_Flow!R4),"")</f>
        <v/>
      </c>
      <c r="P7" s="3">
        <f>IFERROR((IS_Flow!S3-IS_Flow!S4-IS_Flow!S5)/(IS_Flow!S3-IS_Flow!S4),"")</f>
        <v/>
      </c>
      <c r="Q7" s="3">
        <f>IFERROR((IS_Flow!T3-IS_Flow!T4-IS_Flow!T5)/(IS_Flow!T3-IS_Flow!T4),"")</f>
        <v/>
      </c>
      <c r="R7" s="3">
        <f>IFERROR((IS_Flow!V3-IS_Flow!V4-IS_Flow!V5)/(IS_Flow!V3-IS_Flow!V4),"")</f>
        <v/>
      </c>
      <c r="S7" s="3">
        <f>IFERROR((IS_Flow!W3-IS_Flow!W4-IS_Flow!W5)/(IS_Flow!W3-IS_Flow!W4),"")</f>
        <v/>
      </c>
      <c r="T7" s="3">
        <f>IFERROR((IS_Flow!X3-IS_Flow!X4-IS_Flow!X5)/(IS_Flow!X3-IS_Flow!X4),"")</f>
        <v/>
      </c>
      <c r="U7" s="3">
        <f>IFERROR((IS_Flow!Y3-IS_Flow!Y4-IS_Flow!Y5)/(IS_Flow!Y3-IS_Flow!Y4),"")</f>
        <v/>
      </c>
    </row>
    <row r="8">
      <c r="A8" s="1" t="inlineStr">
        <is>
          <t>DSO (วัน)</t>
        </is>
      </c>
      <c r="B8" s="4">
        <f>IFERROR(((BS_Timeline!B3+BS_Timeline!C3)/2)/IS_Flow!B3*90,"")</f>
        <v/>
      </c>
      <c r="C8" s="4">
        <f>IFERROR(((BS_Timeline!C3+BS_Timeline!D3)/2)/IS_Flow!C3*91,"")</f>
        <v/>
      </c>
      <c r="D8" s="4">
        <f>IFERROR(((BS_Timeline!D3+BS_Timeline!E3)/2)/IS_Flow!D3*92,"")</f>
        <v/>
      </c>
      <c r="E8" s="4">
        <f>IFERROR(((BS_Timeline!E3+BS_Timeline!F3)/2)/IS_Flow!E3*92,"")</f>
        <v/>
      </c>
      <c r="F8" s="4">
        <f>IFERROR(((BS_Timeline!F3+BS_Timeline!G3)/2)/IS_Flow!G3*90,"")</f>
        <v/>
      </c>
      <c r="G8" s="4">
        <f>IFERROR(((BS_Timeline!G3+BS_Timeline!H3)/2)/IS_Flow!H3*91,"")</f>
        <v/>
      </c>
      <c r="H8" s="4">
        <f>IFERROR(((BS_Timeline!H3+BS_Timeline!I3)/2)/IS_Flow!I3*92,"")</f>
        <v/>
      </c>
      <c r="I8" s="4">
        <f>IFERROR(((BS_Timeline!I3+BS_Timeline!J3)/2)/IS_Flow!J3*92,"")</f>
        <v/>
      </c>
      <c r="J8" s="4">
        <f>IFERROR(((BS_Timeline!J3+BS_Timeline!K3)/2)/IS_Flow!L3*90,"")</f>
        <v/>
      </c>
      <c r="K8" s="4">
        <f>IFERROR(((BS_Timeline!K3+BS_Timeline!L3)/2)/IS_Flow!M3*91,"")</f>
        <v/>
      </c>
      <c r="L8" s="4">
        <f>IFERROR(((BS_Timeline!L3+BS_Timeline!M3)/2)/IS_Flow!N3*92,"")</f>
        <v/>
      </c>
      <c r="M8" s="4">
        <f>IFERROR(((BS_Timeline!M3+BS_Timeline!N3)/2)/IS_Flow!O3*92,"")</f>
        <v/>
      </c>
      <c r="N8" s="4">
        <f>IFERROR(((BS_Timeline!N3+BS_Timeline!O3)/2)/IS_Flow!Q3*90,"")</f>
        <v/>
      </c>
      <c r="O8" s="4">
        <f>IFERROR(((BS_Timeline!O3+BS_Timeline!P3)/2)/IS_Flow!R3*91,"")</f>
        <v/>
      </c>
      <c r="P8" s="4">
        <f>IFERROR(((BS_Timeline!P3+BS_Timeline!Q3)/2)/IS_Flow!S3*92,"")</f>
        <v/>
      </c>
      <c r="Q8" s="4">
        <f>IFERROR(((BS_Timeline!Q3+BS_Timeline!R3)/2)/IS_Flow!T3*92,"")</f>
        <v/>
      </c>
      <c r="R8" s="4">
        <f>IFERROR(((BS_Timeline!R3+BS_Timeline!S3)/2)/IS_Flow!V3*90,"")</f>
        <v/>
      </c>
      <c r="S8" s="4">
        <f>IFERROR(((BS_Timeline!S3+BS_Timeline!T3)/2)/IS_Flow!W3*91,"")</f>
        <v/>
      </c>
      <c r="T8" s="4">
        <f>IFERROR(((BS_Timeline!T3+BS_Timeline!U3)/2)/IS_Flow!X3*92,"")</f>
        <v/>
      </c>
      <c r="U8" s="4">
        <f>IFERROR(((BS_Timeline!U3+BS_Timeline!V3)/2)/IS_Flow!Y3*92,"")</f>
        <v/>
      </c>
    </row>
    <row r="9">
      <c r="A9" s="1" t="inlineStr">
        <is>
          <t>DIO (วัน)</t>
        </is>
      </c>
      <c r="B9" s="4">
        <f>IFERROR(((BS_Timeline!B4+BS_Timeline!C4)/2)/IS_Flow!B5*90,"")</f>
        <v/>
      </c>
      <c r="C9" s="4">
        <f>IFERROR(((BS_Timeline!C4+BS_Timeline!D4)/2)/IS_Flow!C5*91,"")</f>
        <v/>
      </c>
      <c r="D9" s="4">
        <f>IFERROR(((BS_Timeline!D4+BS_Timeline!E4)/2)/IS_Flow!D5*92,"")</f>
        <v/>
      </c>
      <c r="E9" s="4">
        <f>IFERROR(((BS_Timeline!E4+BS_Timeline!F4)/2)/IS_Flow!E5*92,"")</f>
        <v/>
      </c>
      <c r="F9" s="4">
        <f>IFERROR(((BS_Timeline!F4+BS_Timeline!G4)/2)/IS_Flow!G5*90,"")</f>
        <v/>
      </c>
      <c r="G9" s="4">
        <f>IFERROR(((BS_Timeline!G4+BS_Timeline!H4)/2)/IS_Flow!H5*91,"")</f>
        <v/>
      </c>
      <c r="H9" s="4">
        <f>IFERROR(((BS_Timeline!H4+BS_Timeline!I4)/2)/IS_Flow!I5*92,"")</f>
        <v/>
      </c>
      <c r="I9" s="4">
        <f>IFERROR(((BS_Timeline!I4+BS_Timeline!J4)/2)/IS_Flow!J5*92,"")</f>
        <v/>
      </c>
      <c r="J9" s="4">
        <f>IFERROR(((BS_Timeline!J4+BS_Timeline!K4)/2)/IS_Flow!L5*90,"")</f>
        <v/>
      </c>
      <c r="K9" s="4">
        <f>IFERROR(((BS_Timeline!K4+BS_Timeline!L4)/2)/IS_Flow!M5*91,"")</f>
        <v/>
      </c>
      <c r="L9" s="4">
        <f>IFERROR(((BS_Timeline!L4+BS_Timeline!M4)/2)/IS_Flow!N5*92,"")</f>
        <v/>
      </c>
      <c r="M9" s="4">
        <f>IFERROR(((BS_Timeline!M4+BS_Timeline!N4)/2)/IS_Flow!O5*92,"")</f>
        <v/>
      </c>
      <c r="N9" s="4">
        <f>IFERROR(((BS_Timeline!N4+BS_Timeline!O4)/2)/IS_Flow!Q5*90,"")</f>
        <v/>
      </c>
      <c r="O9" s="4">
        <f>IFERROR(((BS_Timeline!O4+BS_Timeline!P4)/2)/IS_Flow!R5*91,"")</f>
        <v/>
      </c>
      <c r="P9" s="4">
        <f>IFERROR(((BS_Timeline!P4+BS_Timeline!Q4)/2)/IS_Flow!S5*92,"")</f>
        <v/>
      </c>
      <c r="Q9" s="4">
        <f>IFERROR(((BS_Timeline!Q4+BS_Timeline!R4)/2)/IS_Flow!T5*92,"")</f>
        <v/>
      </c>
      <c r="R9" s="4">
        <f>IFERROR(((BS_Timeline!R4+BS_Timeline!S4)/2)/IS_Flow!V5*90,"")</f>
        <v/>
      </c>
      <c r="S9" s="4">
        <f>IFERROR(((BS_Timeline!S4+BS_Timeline!T4)/2)/IS_Flow!W5*91,"")</f>
        <v/>
      </c>
      <c r="T9" s="4">
        <f>IFERROR(((BS_Timeline!T4+BS_Timeline!U4)/2)/IS_Flow!X5*92,"")</f>
        <v/>
      </c>
      <c r="U9" s="4">
        <f>IFERROR(((BS_Timeline!U4+BS_Timeline!V4)/2)/IS_Flow!Y5*92,"")</f>
        <v/>
      </c>
    </row>
    <row r="10">
      <c r="A10" s="1" t="inlineStr">
        <is>
          <t>DPO (วัน)</t>
        </is>
      </c>
      <c r="B10" s="4">
        <f>IFERROR(((BS_Timeline!B5+BS_Timeline!C5)/2)/IS_Flow!B5*90,"")</f>
        <v/>
      </c>
      <c r="C10" s="4">
        <f>IFERROR(((BS_Timeline!C5+BS_Timeline!D5)/2)/IS_Flow!C5*91,"")</f>
        <v/>
      </c>
      <c r="D10" s="4">
        <f>IFERROR(((BS_Timeline!D5+BS_Timeline!E5)/2)/IS_Flow!D5*92,"")</f>
        <v/>
      </c>
      <c r="E10" s="4">
        <f>IFERROR(((BS_Timeline!E5+BS_Timeline!F5)/2)/IS_Flow!E5*92,"")</f>
        <v/>
      </c>
      <c r="F10" s="4">
        <f>IFERROR(((BS_Timeline!F5+BS_Timeline!G5)/2)/IS_Flow!G5*90,"")</f>
        <v/>
      </c>
      <c r="G10" s="4">
        <f>IFERROR(((BS_Timeline!G5+BS_Timeline!H5)/2)/IS_Flow!H5*91,"")</f>
        <v/>
      </c>
      <c r="H10" s="4">
        <f>IFERROR(((BS_Timeline!H5+BS_Timeline!I5)/2)/IS_Flow!I5*92,"")</f>
        <v/>
      </c>
      <c r="I10" s="4">
        <f>IFERROR(((BS_Timeline!I5+BS_Timeline!J5)/2)/IS_Flow!J5*92,"")</f>
        <v/>
      </c>
      <c r="J10" s="4">
        <f>IFERROR(((BS_Timeline!J5+BS_Timeline!K5)/2)/IS_Flow!L5*90,"")</f>
        <v/>
      </c>
      <c r="K10" s="4">
        <f>IFERROR(((BS_Timeline!K5+BS_Timeline!L5)/2)/IS_Flow!M5*91,"")</f>
        <v/>
      </c>
      <c r="L10" s="4">
        <f>IFERROR(((BS_Timeline!L5+BS_Timeline!M5)/2)/IS_Flow!N5*92,"")</f>
        <v/>
      </c>
      <c r="M10" s="4">
        <f>IFERROR(((BS_Timeline!M5+BS_Timeline!N5)/2)/IS_Flow!O5*92,"")</f>
        <v/>
      </c>
      <c r="N10" s="4">
        <f>IFERROR(((BS_Timeline!N5+BS_Timeline!O5)/2)/IS_Flow!Q5*90,"")</f>
        <v/>
      </c>
      <c r="O10" s="4">
        <f>IFERROR(((BS_Timeline!O5+BS_Timeline!P5)/2)/IS_Flow!R5*91,"")</f>
        <v/>
      </c>
      <c r="P10" s="4">
        <f>IFERROR(((BS_Timeline!P5+BS_Timeline!Q5)/2)/IS_Flow!S5*92,"")</f>
        <v/>
      </c>
      <c r="Q10" s="4">
        <f>IFERROR(((BS_Timeline!Q5+BS_Timeline!R5)/2)/IS_Flow!T5*92,"")</f>
        <v/>
      </c>
      <c r="R10" s="4">
        <f>IFERROR(((BS_Timeline!R5+BS_Timeline!S5)/2)/IS_Flow!V5*90,"")</f>
        <v/>
      </c>
      <c r="S10" s="4">
        <f>IFERROR(((BS_Timeline!S5+BS_Timeline!T5)/2)/IS_Flow!W5*91,"")</f>
        <v/>
      </c>
      <c r="T10" s="4">
        <f>IFERROR(((BS_Timeline!T5+BS_Timeline!U5)/2)/IS_Flow!X5*92,"")</f>
        <v/>
      </c>
      <c r="U10" s="4">
        <f>IFERROR(((BS_Timeline!U5+BS_Timeline!V5)/2)/IS_Flow!Y5*92,"")</f>
        <v/>
      </c>
    </row>
    <row r="11">
      <c r="A11" s="1" t="inlineStr">
        <is>
          <t>CCC (วัน)</t>
        </is>
      </c>
      <c r="B11" s="4">
        <f>IFERROR(B8+B9-B10,"")</f>
        <v/>
      </c>
      <c r="C11" s="4">
        <f>IFERROR(C8+C9-C10,"")</f>
        <v/>
      </c>
      <c r="D11" s="4">
        <f>IFERROR(D8+D9-D10,"")</f>
        <v/>
      </c>
      <c r="E11" s="4">
        <f>IFERROR(E8+E9-E10,"")</f>
        <v/>
      </c>
      <c r="F11" s="4">
        <f>IFERROR(F8+F9-F10,"")</f>
        <v/>
      </c>
      <c r="G11" s="4">
        <f>IFERROR(G8+G9-G10,"")</f>
        <v/>
      </c>
      <c r="H11" s="4">
        <f>IFERROR(H8+H9-H10,"")</f>
        <v/>
      </c>
      <c r="I11" s="4">
        <f>IFERROR(I8+I9-I10,"")</f>
        <v/>
      </c>
      <c r="J11" s="4">
        <f>IFERROR(J8+J9-J10,"")</f>
        <v/>
      </c>
      <c r="K11" s="4">
        <f>IFERROR(K8+K9-K10,"")</f>
        <v/>
      </c>
      <c r="L11" s="4">
        <f>IFERROR(L8+L9-L10,"")</f>
        <v/>
      </c>
      <c r="M11" s="4">
        <f>IFERROR(M8+M9-M10,"")</f>
        <v/>
      </c>
      <c r="N11" s="4">
        <f>IFERROR(N8+N9-N10,"")</f>
        <v/>
      </c>
      <c r="O11" s="4">
        <f>IFERROR(O8+O9-O10,"")</f>
        <v/>
      </c>
      <c r="P11" s="4">
        <f>IFERROR(P8+P9-P10,"")</f>
        <v/>
      </c>
      <c r="Q11" s="4">
        <f>IFERROR(Q8+Q9-Q10,"")</f>
        <v/>
      </c>
      <c r="R11" s="4">
        <f>IFERROR(R8+R9-R10,"")</f>
        <v/>
      </c>
      <c r="S11" s="4">
        <f>IFERROR(S8+S9-S10,"")</f>
        <v/>
      </c>
      <c r="T11" s="4">
        <f>IFERROR(T8+T9-T10,"")</f>
        <v/>
      </c>
      <c r="U11" s="4">
        <f>IFERROR(U8+U9-U10,"")</f>
        <v/>
      </c>
    </row>
    <row r="12">
      <c r="A12" s="1" t="inlineStr">
        <is>
          <t>ROA รายไตรมาส (%)</t>
        </is>
      </c>
      <c r="B12" s="3">
        <f>IFERROR(IS_Flow!B6/((BS_Timeline!B6+BS_Timeline!C6)/2),"")</f>
        <v/>
      </c>
      <c r="C12" s="3">
        <f>IFERROR(IS_Flow!C6/((BS_Timeline!C6+BS_Timeline!D6)/2),"")</f>
        <v/>
      </c>
      <c r="D12" s="3">
        <f>IFERROR(IS_Flow!D6/((BS_Timeline!D6+BS_Timeline!E6)/2),"")</f>
        <v/>
      </c>
      <c r="E12" s="3">
        <f>IFERROR(IS_Flow!E6/((BS_Timeline!E6+BS_Timeline!F6)/2),"")</f>
        <v/>
      </c>
      <c r="F12" s="3">
        <f>IFERROR(IS_Flow!G6/((BS_Timeline!F6+BS_Timeline!G6)/2),"")</f>
        <v/>
      </c>
      <c r="G12" s="3">
        <f>IFERROR(IS_Flow!H6/((BS_Timeline!G6+BS_Timeline!H6)/2),"")</f>
        <v/>
      </c>
      <c r="H12" s="3">
        <f>IFERROR(IS_Flow!I6/((BS_Timeline!H6+BS_Timeline!I6)/2),"")</f>
        <v/>
      </c>
      <c r="I12" s="3">
        <f>IFERROR(IS_Flow!J6/((BS_Timeline!I6+BS_Timeline!J6)/2),"")</f>
        <v/>
      </c>
      <c r="J12" s="3">
        <f>IFERROR(IS_Flow!L6/((BS_Timeline!J6+BS_Timeline!K6)/2),"")</f>
        <v/>
      </c>
      <c r="K12" s="3">
        <f>IFERROR(IS_Flow!M6/((BS_Timeline!K6+BS_Timeline!L6)/2),"")</f>
        <v/>
      </c>
      <c r="L12" s="3">
        <f>IFERROR(IS_Flow!N6/((BS_Timeline!L6+BS_Timeline!M6)/2),"")</f>
        <v/>
      </c>
      <c r="M12" s="3">
        <f>IFERROR(IS_Flow!O6/((BS_Timeline!M6+BS_Timeline!N6)/2),"")</f>
        <v/>
      </c>
      <c r="N12" s="3">
        <f>IFERROR(IS_Flow!Q6/((BS_Timeline!N6+BS_Timeline!O6)/2),"")</f>
        <v/>
      </c>
      <c r="O12" s="3">
        <f>IFERROR(IS_Flow!R6/((BS_Timeline!O6+BS_Timeline!P6)/2),"")</f>
        <v/>
      </c>
      <c r="P12" s="3">
        <f>IFERROR(IS_Flow!S6/((BS_Timeline!P6+BS_Timeline!Q6)/2),"")</f>
        <v/>
      </c>
      <c r="Q12" s="3">
        <f>IFERROR(IS_Flow!T6/((BS_Timeline!Q6+BS_Timeline!R6)/2),"")</f>
        <v/>
      </c>
      <c r="R12" s="3">
        <f>IFERROR(IS_Flow!V6/((BS_Timeline!R6+BS_Timeline!S6)/2),"")</f>
        <v/>
      </c>
      <c r="S12" s="3">
        <f>IFERROR(IS_Flow!W6/((BS_Timeline!S6+BS_Timeline!T6)/2),"")</f>
        <v/>
      </c>
      <c r="T12" s="3">
        <f>IFERROR(IS_Flow!X6/((BS_Timeline!T6+BS_Timeline!U6)/2),"")</f>
        <v/>
      </c>
      <c r="U12" s="3">
        <f>IFERROR(IS_Flow!Y6/((BS_Timeline!U6+BS_Timeline!V6)/2),"")</f>
        <v/>
      </c>
    </row>
    <row r="13">
      <c r="A13" s="1" t="inlineStr">
        <is>
          <t>ROE รายไตรมาส (%)</t>
        </is>
      </c>
      <c r="B13" s="3">
        <f>IFERROR(IS_Flow!B6/((BS_Timeline!B7+BS_Timeline!C7)/2),"")</f>
        <v/>
      </c>
      <c r="C13" s="3">
        <f>IFERROR(IS_Flow!C6/((BS_Timeline!C7+BS_Timeline!D7)/2),"")</f>
        <v/>
      </c>
      <c r="D13" s="3">
        <f>IFERROR(IS_Flow!D6/((BS_Timeline!D7+BS_Timeline!E7)/2),"")</f>
        <v/>
      </c>
      <c r="E13" s="3">
        <f>IFERROR(IS_Flow!E6/((BS_Timeline!E7+BS_Timeline!F7)/2),"")</f>
        <v/>
      </c>
      <c r="F13" s="3">
        <f>IFERROR(IS_Flow!G6/((BS_Timeline!F7+BS_Timeline!G7)/2),"")</f>
        <v/>
      </c>
      <c r="G13" s="3">
        <f>IFERROR(IS_Flow!H6/((BS_Timeline!G7+BS_Timeline!H7)/2),"")</f>
        <v/>
      </c>
      <c r="H13" s="3">
        <f>IFERROR(IS_Flow!I6/((BS_Timeline!H7+BS_Timeline!I7)/2),"")</f>
        <v/>
      </c>
      <c r="I13" s="3">
        <f>IFERROR(IS_Flow!J6/((BS_Timeline!I7+BS_Timeline!J7)/2),"")</f>
        <v/>
      </c>
      <c r="J13" s="3">
        <f>IFERROR(IS_Flow!L6/((BS_Timeline!J7+BS_Timeline!K7)/2),"")</f>
        <v/>
      </c>
      <c r="K13" s="3">
        <f>IFERROR(IS_Flow!M6/((BS_Timeline!K7+BS_Timeline!L7)/2),"")</f>
        <v/>
      </c>
      <c r="L13" s="3">
        <f>IFERROR(IS_Flow!N6/((BS_Timeline!L7+BS_Timeline!M7)/2),"")</f>
        <v/>
      </c>
      <c r="M13" s="3">
        <f>IFERROR(IS_Flow!O6/((BS_Timeline!M7+BS_Timeline!N7)/2),"")</f>
        <v/>
      </c>
      <c r="N13" s="3">
        <f>IFERROR(IS_Flow!Q6/((BS_Timeline!N7+BS_Timeline!O7)/2),"")</f>
        <v/>
      </c>
      <c r="O13" s="3">
        <f>IFERROR(IS_Flow!R6/((BS_Timeline!O7+BS_Timeline!P7)/2),"")</f>
        <v/>
      </c>
      <c r="P13" s="3">
        <f>IFERROR(IS_Flow!S6/((BS_Timeline!P7+BS_Timeline!Q7)/2),"")</f>
        <v/>
      </c>
      <c r="Q13" s="3">
        <f>IFERROR(IS_Flow!T6/((BS_Timeline!Q7+BS_Timeline!R7)/2),"")</f>
        <v/>
      </c>
      <c r="R13" s="3">
        <f>IFERROR(IS_Flow!V6/((BS_Timeline!R7+BS_Timeline!S7)/2),"")</f>
        <v/>
      </c>
      <c r="S13" s="3">
        <f>IFERROR(IS_Flow!W6/((BS_Timeline!S7+BS_Timeline!T7)/2),"")</f>
        <v/>
      </c>
      <c r="T13" s="3">
        <f>IFERROR(IS_Flow!X6/((BS_Timeline!T7+BS_Timeline!U7)/2),"")</f>
        <v/>
      </c>
      <c r="U13" s="3">
        <f>IFERROR(IS_Flow!Y6/((BS_Timeline!U7+BS_Timeline!V7)/2),"")</f>
        <v/>
      </c>
    </row>
    <row r="14">
      <c r="A14" s="1" t="inlineStr">
        <is>
          <t>D/E (เท่า)</t>
        </is>
      </c>
      <c r="B14" s="4">
        <f>IFERROR(BS_Timeline!C8/BS_Timeline!C7,"")</f>
        <v/>
      </c>
      <c r="C14" s="4">
        <f>IFERROR(BS_Timeline!D8/BS_Timeline!D7,"")</f>
        <v/>
      </c>
      <c r="D14" s="4">
        <f>IFERROR(BS_Timeline!E8/BS_Timeline!E7,"")</f>
        <v/>
      </c>
      <c r="E14" s="4">
        <f>IFERROR(BS_Timeline!F8/BS_Timeline!F7,"")</f>
        <v/>
      </c>
      <c r="F14" s="4">
        <f>IFERROR(BS_Timeline!G8/BS_Timeline!G7,"")</f>
        <v/>
      </c>
      <c r="G14" s="4">
        <f>IFERROR(BS_Timeline!H8/BS_Timeline!H7,"")</f>
        <v/>
      </c>
      <c r="H14" s="4">
        <f>IFERROR(BS_Timeline!I8/BS_Timeline!I7,"")</f>
        <v/>
      </c>
      <c r="I14" s="4">
        <f>IFERROR(BS_Timeline!J8/BS_Timeline!J7,"")</f>
        <v/>
      </c>
      <c r="J14" s="4">
        <f>IFERROR(BS_Timeline!K8/BS_Timeline!K7,"")</f>
        <v/>
      </c>
      <c r="K14" s="4">
        <f>IFERROR(BS_Timeline!L8/BS_Timeline!L7,"")</f>
        <v/>
      </c>
      <c r="L14" s="4">
        <f>IFERROR(BS_Timeline!M8/BS_Timeline!M7,"")</f>
        <v/>
      </c>
      <c r="M14" s="4">
        <f>IFERROR(BS_Timeline!N8/BS_Timeline!N7,"")</f>
        <v/>
      </c>
      <c r="N14" s="4">
        <f>IFERROR(BS_Timeline!O8/BS_Timeline!O7,"")</f>
        <v/>
      </c>
      <c r="O14" s="4">
        <f>IFERROR(BS_Timeline!P8/BS_Timeline!P7,"")</f>
        <v/>
      </c>
      <c r="P14" s="4">
        <f>IFERROR(BS_Timeline!Q8/BS_Timeline!Q7,"")</f>
        <v/>
      </c>
      <c r="Q14" s="4">
        <f>IFERROR(BS_Timeline!R8/BS_Timeline!R7,"")</f>
        <v/>
      </c>
      <c r="R14" s="4">
        <f>IFERROR(BS_Timeline!S8/BS_Timeline!S7,"")</f>
        <v/>
      </c>
      <c r="S14" s="4">
        <f>IFERROR(BS_Timeline!T8/BS_Timeline!T7,"")</f>
        <v/>
      </c>
      <c r="T14" s="4">
        <f>IFERROR(BS_Timeline!U8/BS_Timeline!U7,"")</f>
        <v/>
      </c>
      <c r="U14" s="4">
        <f>IFERROR(BS_Timeline!V8/BS_Timeline!V7,"")</f>
        <v/>
      </c>
    </row>
    <row r="15">
      <c r="A15" s="7" t="inlineStr">
        <is>
          <t>■ CENTEL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1" t="inlineStr">
        <is>
          <t>รายได้รวม (ล้านบาท)</t>
        </is>
      </c>
      <c r="B16" s="4">
        <f>IS_Flow!B9</f>
        <v/>
      </c>
      <c r="C16" s="4">
        <f>IS_Flow!C9</f>
        <v/>
      </c>
      <c r="D16" s="4">
        <f>IS_Flow!D9</f>
        <v/>
      </c>
      <c r="E16" s="4">
        <f>IS_Flow!E9</f>
        <v/>
      </c>
      <c r="F16" s="4">
        <f>IS_Flow!G9</f>
        <v/>
      </c>
      <c r="G16" s="4">
        <f>IS_Flow!H9</f>
        <v/>
      </c>
      <c r="H16" s="4">
        <f>IS_Flow!I9</f>
        <v/>
      </c>
      <c r="I16" s="4">
        <f>IS_Flow!J9</f>
        <v/>
      </c>
      <c r="J16" s="4">
        <f>IS_Flow!L9</f>
        <v/>
      </c>
      <c r="K16" s="4">
        <f>IS_Flow!M9</f>
        <v/>
      </c>
      <c r="L16" s="4">
        <f>IS_Flow!N9</f>
        <v/>
      </c>
      <c r="M16" s="4">
        <f>IS_Flow!O9</f>
        <v/>
      </c>
      <c r="N16" s="4">
        <f>IS_Flow!Q9</f>
        <v/>
      </c>
      <c r="O16" s="4">
        <f>IS_Flow!R9</f>
        <v/>
      </c>
      <c r="P16" s="4">
        <f>IS_Flow!S9</f>
        <v/>
      </c>
      <c r="Q16" s="4">
        <f>IS_Flow!T9</f>
        <v/>
      </c>
      <c r="R16" s="4">
        <f>IS_Flow!V9</f>
        <v/>
      </c>
      <c r="S16" s="4">
        <f>IS_Flow!W9</f>
        <v/>
      </c>
      <c r="T16" s="4">
        <f>IS_Flow!X9</f>
        <v/>
      </c>
      <c r="U16" s="4">
        <f>IS_Flow!Y9</f>
        <v/>
      </c>
    </row>
    <row r="17">
      <c r="A17" s="1" t="inlineStr">
        <is>
          <t>ต้นทุนขาย (ล้านบาท)</t>
        </is>
      </c>
      <c r="B17" s="4">
        <f>IS_Flow!B11</f>
        <v/>
      </c>
      <c r="C17" s="4">
        <f>IS_Flow!C11</f>
        <v/>
      </c>
      <c r="D17" s="4">
        <f>IS_Flow!D11</f>
        <v/>
      </c>
      <c r="E17" s="4">
        <f>IS_Flow!E11</f>
        <v/>
      </c>
      <c r="F17" s="4">
        <f>IS_Flow!G11</f>
        <v/>
      </c>
      <c r="G17" s="4">
        <f>IS_Flow!H11</f>
        <v/>
      </c>
      <c r="H17" s="4">
        <f>IS_Flow!I11</f>
        <v/>
      </c>
      <c r="I17" s="4">
        <f>IS_Flow!J11</f>
        <v/>
      </c>
      <c r="J17" s="4">
        <f>IS_Flow!L11</f>
        <v/>
      </c>
      <c r="K17" s="4">
        <f>IS_Flow!M11</f>
        <v/>
      </c>
      <c r="L17" s="4">
        <f>IS_Flow!N11</f>
        <v/>
      </c>
      <c r="M17" s="4">
        <f>IS_Flow!O11</f>
        <v/>
      </c>
      <c r="N17" s="4">
        <f>IS_Flow!Q11</f>
        <v/>
      </c>
      <c r="O17" s="4">
        <f>IS_Flow!R11</f>
        <v/>
      </c>
      <c r="P17" s="4">
        <f>IS_Flow!S11</f>
        <v/>
      </c>
      <c r="Q17" s="4">
        <f>IS_Flow!T11</f>
        <v/>
      </c>
      <c r="R17" s="4">
        <f>IS_Flow!V11</f>
        <v/>
      </c>
      <c r="S17" s="4">
        <f>IS_Flow!W11</f>
        <v/>
      </c>
      <c r="T17" s="4">
        <f>IS_Flow!X11</f>
        <v/>
      </c>
      <c r="U17" s="4">
        <f>IS_Flow!Y11</f>
        <v/>
      </c>
    </row>
    <row r="18">
      <c r="A18" s="1" t="inlineStr">
        <is>
          <t>กำไรสุทธิ (ล้านบาท)</t>
        </is>
      </c>
      <c r="B18" s="4">
        <f>IS_Flow!B12</f>
        <v/>
      </c>
      <c r="C18" s="4">
        <f>IS_Flow!C12</f>
        <v/>
      </c>
      <c r="D18" s="4">
        <f>IS_Flow!D12</f>
        <v/>
      </c>
      <c r="E18" s="4">
        <f>IS_Flow!E12</f>
        <v/>
      </c>
      <c r="F18" s="4">
        <f>IS_Flow!G12</f>
        <v/>
      </c>
      <c r="G18" s="4">
        <f>IS_Flow!H12</f>
        <v/>
      </c>
      <c r="H18" s="4">
        <f>IS_Flow!I12</f>
        <v/>
      </c>
      <c r="I18" s="4">
        <f>IS_Flow!J12</f>
        <v/>
      </c>
      <c r="J18" s="4">
        <f>IS_Flow!L12</f>
        <v/>
      </c>
      <c r="K18" s="4">
        <f>IS_Flow!M12</f>
        <v/>
      </c>
      <c r="L18" s="4">
        <f>IS_Flow!N12</f>
        <v/>
      </c>
      <c r="M18" s="4">
        <f>IS_Flow!O12</f>
        <v/>
      </c>
      <c r="N18" s="4">
        <f>IS_Flow!Q12</f>
        <v/>
      </c>
      <c r="O18" s="4">
        <f>IS_Flow!R12</f>
        <v/>
      </c>
      <c r="P18" s="4">
        <f>IS_Flow!S12</f>
        <v/>
      </c>
      <c r="Q18" s="4">
        <f>IS_Flow!T12</f>
        <v/>
      </c>
      <c r="R18" s="4">
        <f>IS_Flow!V12</f>
        <v/>
      </c>
      <c r="S18" s="4">
        <f>IS_Flow!W12</f>
        <v/>
      </c>
      <c r="T18" s="4">
        <f>IS_Flow!X12</f>
        <v/>
      </c>
      <c r="U18" s="4">
        <f>IS_Flow!Y12</f>
        <v/>
      </c>
    </row>
    <row r="19">
      <c r="A19" s="1" t="inlineStr">
        <is>
          <t>NPM (%)</t>
        </is>
      </c>
      <c r="B19" s="3">
        <f>IFERROR(IS_Flow!B12/IS_Flow!B9,"")</f>
        <v/>
      </c>
      <c r="C19" s="3">
        <f>IFERROR(IS_Flow!C12/IS_Flow!C9,"")</f>
        <v/>
      </c>
      <c r="D19" s="3">
        <f>IFERROR(IS_Flow!D12/IS_Flow!D9,"")</f>
        <v/>
      </c>
      <c r="E19" s="3">
        <f>IFERROR(IS_Flow!E12/IS_Flow!E9,"")</f>
        <v/>
      </c>
      <c r="F19" s="3">
        <f>IFERROR(IS_Flow!G12/IS_Flow!G9,"")</f>
        <v/>
      </c>
      <c r="G19" s="3">
        <f>IFERROR(IS_Flow!H12/IS_Flow!H9,"")</f>
        <v/>
      </c>
      <c r="H19" s="3">
        <f>IFERROR(IS_Flow!I12/IS_Flow!I9,"")</f>
        <v/>
      </c>
      <c r="I19" s="3">
        <f>IFERROR(IS_Flow!J12/IS_Flow!J9,"")</f>
        <v/>
      </c>
      <c r="J19" s="3">
        <f>IFERROR(IS_Flow!L12/IS_Flow!L9,"")</f>
        <v/>
      </c>
      <c r="K19" s="3">
        <f>IFERROR(IS_Flow!M12/IS_Flow!M9,"")</f>
        <v/>
      </c>
      <c r="L19" s="3">
        <f>IFERROR(IS_Flow!N12/IS_Flow!N9,"")</f>
        <v/>
      </c>
      <c r="M19" s="3">
        <f>IFERROR(IS_Flow!O12/IS_Flow!O9,"")</f>
        <v/>
      </c>
      <c r="N19" s="3">
        <f>IFERROR(IS_Flow!Q12/IS_Flow!Q9,"")</f>
        <v/>
      </c>
      <c r="O19" s="3">
        <f>IFERROR(IS_Flow!R12/IS_Flow!R9,"")</f>
        <v/>
      </c>
      <c r="P19" s="3">
        <f>IFERROR(IS_Flow!S12/IS_Flow!S9,"")</f>
        <v/>
      </c>
      <c r="Q19" s="3">
        <f>IFERROR(IS_Flow!T12/IS_Flow!T9,"")</f>
        <v/>
      </c>
      <c r="R19" s="3">
        <f>IFERROR(IS_Flow!V12/IS_Flow!V9,"")</f>
        <v/>
      </c>
      <c r="S19" s="3">
        <f>IFERROR(IS_Flow!W12/IS_Flow!W9,"")</f>
        <v/>
      </c>
      <c r="T19" s="3">
        <f>IFERROR(IS_Flow!X12/IS_Flow!X9,"")</f>
        <v/>
      </c>
      <c r="U19" s="3">
        <f>IFERROR(IS_Flow!Y12/IS_Flow!Y9,"")</f>
        <v/>
      </c>
    </row>
    <row r="20">
      <c r="A20" s="1" t="inlineStr">
        <is>
          <t>Gross Margin (%)</t>
        </is>
      </c>
      <c r="B20" s="3">
        <f>IFERROR((IS_Flow!B9-IS_Flow!B10-IS_Flow!B11)/(IS_Flow!B9-IS_Flow!B10),"")</f>
        <v/>
      </c>
      <c r="C20" s="3">
        <f>IFERROR((IS_Flow!C9-IS_Flow!C10-IS_Flow!C11)/(IS_Flow!C9-IS_Flow!C10),"")</f>
        <v/>
      </c>
      <c r="D20" s="3">
        <f>IFERROR((IS_Flow!D9-IS_Flow!D10-IS_Flow!D11)/(IS_Flow!D9-IS_Flow!D10),"")</f>
        <v/>
      </c>
      <c r="E20" s="3">
        <f>IFERROR((IS_Flow!E9-IS_Flow!E10-IS_Flow!E11)/(IS_Flow!E9-IS_Flow!E10),"")</f>
        <v/>
      </c>
      <c r="F20" s="3">
        <f>IFERROR((IS_Flow!G9-IS_Flow!G10-IS_Flow!G11)/(IS_Flow!G9-IS_Flow!G10),"")</f>
        <v/>
      </c>
      <c r="G20" s="3">
        <f>IFERROR((IS_Flow!H9-IS_Flow!H10-IS_Flow!H11)/(IS_Flow!H9-IS_Flow!H10),"")</f>
        <v/>
      </c>
      <c r="H20" s="3">
        <f>IFERROR((IS_Flow!I9-IS_Flow!I10-IS_Flow!I11)/(IS_Flow!I9-IS_Flow!I10),"")</f>
        <v/>
      </c>
      <c r="I20" s="3">
        <f>IFERROR((IS_Flow!J9-IS_Flow!J10-IS_Flow!J11)/(IS_Flow!J9-IS_Flow!J10),"")</f>
        <v/>
      </c>
      <c r="J20" s="3">
        <f>IFERROR((IS_Flow!L9-IS_Flow!L10-IS_Flow!L11)/(IS_Flow!L9-IS_Flow!L10),"")</f>
        <v/>
      </c>
      <c r="K20" s="3">
        <f>IFERROR((IS_Flow!M9-IS_Flow!M10-IS_Flow!M11)/(IS_Flow!M9-IS_Flow!M10),"")</f>
        <v/>
      </c>
      <c r="L20" s="3">
        <f>IFERROR((IS_Flow!N9-IS_Flow!N10-IS_Flow!N11)/(IS_Flow!N9-IS_Flow!N10),"")</f>
        <v/>
      </c>
      <c r="M20" s="3">
        <f>IFERROR((IS_Flow!O9-IS_Flow!O10-IS_Flow!O11)/(IS_Flow!O9-IS_Flow!O10),"")</f>
        <v/>
      </c>
      <c r="N20" s="3">
        <f>IFERROR((IS_Flow!Q9-IS_Flow!Q10-IS_Flow!Q11)/(IS_Flow!Q9-IS_Flow!Q10),"")</f>
        <v/>
      </c>
      <c r="O20" s="3">
        <f>IFERROR((IS_Flow!R9-IS_Flow!R10-IS_Flow!R11)/(IS_Flow!R9-IS_Flow!R10),"")</f>
        <v/>
      </c>
      <c r="P20" s="3">
        <f>IFERROR((IS_Flow!S9-IS_Flow!S10-IS_Flow!S11)/(IS_Flow!S9-IS_Flow!S10),"")</f>
        <v/>
      </c>
      <c r="Q20" s="3">
        <f>IFERROR((IS_Flow!T9-IS_Flow!T10-IS_Flow!T11)/(IS_Flow!T9-IS_Flow!T10),"")</f>
        <v/>
      </c>
      <c r="R20" s="3">
        <f>IFERROR((IS_Flow!V9-IS_Flow!V10-IS_Flow!V11)/(IS_Flow!V9-IS_Flow!V10),"")</f>
        <v/>
      </c>
      <c r="S20" s="3">
        <f>IFERROR((IS_Flow!W9-IS_Flow!W10-IS_Flow!W11)/(IS_Flow!W9-IS_Flow!W10),"")</f>
        <v/>
      </c>
      <c r="T20" s="3">
        <f>IFERROR((IS_Flow!X9-IS_Flow!X10-IS_Flow!X11)/(IS_Flow!X9-IS_Flow!X10),"")</f>
        <v/>
      </c>
      <c r="U20" s="3">
        <f>IFERROR((IS_Flow!Y9-IS_Flow!Y10-IS_Flow!Y11)/(IS_Flow!Y9-IS_Flow!Y10),"")</f>
        <v/>
      </c>
    </row>
    <row r="21">
      <c r="A21" s="1" t="inlineStr">
        <is>
          <t>DSO (วัน)</t>
        </is>
      </c>
      <c r="B21" s="4">
        <f>IFERROR(((BS_Timeline!B10+BS_Timeline!C10)/2)/IS_Flow!B9*90,"")</f>
        <v/>
      </c>
      <c r="C21" s="4">
        <f>IFERROR(((BS_Timeline!C10+BS_Timeline!D10)/2)/IS_Flow!C9*91,"")</f>
        <v/>
      </c>
      <c r="D21" s="4">
        <f>IFERROR(((BS_Timeline!D10+BS_Timeline!E10)/2)/IS_Flow!D9*92,"")</f>
        <v/>
      </c>
      <c r="E21" s="4">
        <f>IFERROR(((BS_Timeline!E10+BS_Timeline!F10)/2)/IS_Flow!E9*92,"")</f>
        <v/>
      </c>
      <c r="F21" s="4">
        <f>IFERROR(((BS_Timeline!F10+BS_Timeline!G10)/2)/IS_Flow!G9*90,"")</f>
        <v/>
      </c>
      <c r="G21" s="4">
        <f>IFERROR(((BS_Timeline!G10+BS_Timeline!H10)/2)/IS_Flow!H9*91,"")</f>
        <v/>
      </c>
      <c r="H21" s="4">
        <f>IFERROR(((BS_Timeline!H10+BS_Timeline!I10)/2)/IS_Flow!I9*92,"")</f>
        <v/>
      </c>
      <c r="I21" s="4">
        <f>IFERROR(((BS_Timeline!I10+BS_Timeline!J10)/2)/IS_Flow!J9*92,"")</f>
        <v/>
      </c>
      <c r="J21" s="4">
        <f>IFERROR(((BS_Timeline!J10+BS_Timeline!K10)/2)/IS_Flow!L9*90,"")</f>
        <v/>
      </c>
      <c r="K21" s="4">
        <f>IFERROR(((BS_Timeline!K10+BS_Timeline!L10)/2)/IS_Flow!M9*91,"")</f>
        <v/>
      </c>
      <c r="L21" s="4">
        <f>IFERROR(((BS_Timeline!L10+BS_Timeline!M10)/2)/IS_Flow!N9*92,"")</f>
        <v/>
      </c>
      <c r="M21" s="4">
        <f>IFERROR(((BS_Timeline!M10+BS_Timeline!N10)/2)/IS_Flow!O9*92,"")</f>
        <v/>
      </c>
      <c r="N21" s="4">
        <f>IFERROR(((BS_Timeline!N10+BS_Timeline!O10)/2)/IS_Flow!Q9*90,"")</f>
        <v/>
      </c>
      <c r="O21" s="4">
        <f>IFERROR(((BS_Timeline!O10+BS_Timeline!P10)/2)/IS_Flow!R9*91,"")</f>
        <v/>
      </c>
      <c r="P21" s="4">
        <f>IFERROR(((BS_Timeline!P10+BS_Timeline!Q10)/2)/IS_Flow!S9*92,"")</f>
        <v/>
      </c>
      <c r="Q21" s="4">
        <f>IFERROR(((BS_Timeline!Q10+BS_Timeline!R10)/2)/IS_Flow!T9*92,"")</f>
        <v/>
      </c>
      <c r="R21" s="4">
        <f>IFERROR(((BS_Timeline!R10+BS_Timeline!S10)/2)/IS_Flow!V9*90,"")</f>
        <v/>
      </c>
      <c r="S21" s="4">
        <f>IFERROR(((BS_Timeline!S10+BS_Timeline!T10)/2)/IS_Flow!W9*91,"")</f>
        <v/>
      </c>
      <c r="T21" s="4">
        <f>IFERROR(((BS_Timeline!T10+BS_Timeline!U10)/2)/IS_Flow!X9*92,"")</f>
        <v/>
      </c>
      <c r="U21" s="4">
        <f>IFERROR(((BS_Timeline!U10+BS_Timeline!V10)/2)/IS_Flow!Y9*92,"")</f>
        <v/>
      </c>
    </row>
    <row r="22">
      <c r="A22" s="1" t="inlineStr">
        <is>
          <t>DIO (วัน)</t>
        </is>
      </c>
      <c r="B22" s="4">
        <f>IFERROR(((BS_Timeline!B11+BS_Timeline!C11)/2)/IS_Flow!B11*90,"")</f>
        <v/>
      </c>
      <c r="C22" s="4">
        <f>IFERROR(((BS_Timeline!C11+BS_Timeline!D11)/2)/IS_Flow!C11*91,"")</f>
        <v/>
      </c>
      <c r="D22" s="4">
        <f>IFERROR(((BS_Timeline!D11+BS_Timeline!E11)/2)/IS_Flow!D11*92,"")</f>
        <v/>
      </c>
      <c r="E22" s="4">
        <f>IFERROR(((BS_Timeline!E11+BS_Timeline!F11)/2)/IS_Flow!E11*92,"")</f>
        <v/>
      </c>
      <c r="F22" s="4">
        <f>IFERROR(((BS_Timeline!F11+BS_Timeline!G11)/2)/IS_Flow!G11*90,"")</f>
        <v/>
      </c>
      <c r="G22" s="4">
        <f>IFERROR(((BS_Timeline!G11+BS_Timeline!H11)/2)/IS_Flow!H11*91,"")</f>
        <v/>
      </c>
      <c r="H22" s="4">
        <f>IFERROR(((BS_Timeline!H11+BS_Timeline!I11)/2)/IS_Flow!I11*92,"")</f>
        <v/>
      </c>
      <c r="I22" s="4">
        <f>IFERROR(((BS_Timeline!I11+BS_Timeline!J11)/2)/IS_Flow!J11*92,"")</f>
        <v/>
      </c>
      <c r="J22" s="4">
        <f>IFERROR(((BS_Timeline!J11+BS_Timeline!K11)/2)/IS_Flow!L11*90,"")</f>
        <v/>
      </c>
      <c r="K22" s="4">
        <f>IFERROR(((BS_Timeline!K11+BS_Timeline!L11)/2)/IS_Flow!M11*91,"")</f>
        <v/>
      </c>
      <c r="L22" s="4">
        <f>IFERROR(((BS_Timeline!L11+BS_Timeline!M11)/2)/IS_Flow!N11*92,"")</f>
        <v/>
      </c>
      <c r="M22" s="4">
        <f>IFERROR(((BS_Timeline!M11+BS_Timeline!N11)/2)/IS_Flow!O11*92,"")</f>
        <v/>
      </c>
      <c r="N22" s="4">
        <f>IFERROR(((BS_Timeline!N11+BS_Timeline!O11)/2)/IS_Flow!Q11*90,"")</f>
        <v/>
      </c>
      <c r="O22" s="4">
        <f>IFERROR(((BS_Timeline!O11+BS_Timeline!P11)/2)/IS_Flow!R11*91,"")</f>
        <v/>
      </c>
      <c r="P22" s="4">
        <f>IFERROR(((BS_Timeline!P11+BS_Timeline!Q11)/2)/IS_Flow!S11*92,"")</f>
        <v/>
      </c>
      <c r="Q22" s="4">
        <f>IFERROR(((BS_Timeline!Q11+BS_Timeline!R11)/2)/IS_Flow!T11*92,"")</f>
        <v/>
      </c>
      <c r="R22" s="4">
        <f>IFERROR(((BS_Timeline!R11+BS_Timeline!S11)/2)/IS_Flow!V11*90,"")</f>
        <v/>
      </c>
      <c r="S22" s="4">
        <f>IFERROR(((BS_Timeline!S11+BS_Timeline!T11)/2)/IS_Flow!W11*91,"")</f>
        <v/>
      </c>
      <c r="T22" s="4">
        <f>IFERROR(((BS_Timeline!T11+BS_Timeline!U11)/2)/IS_Flow!X11*92,"")</f>
        <v/>
      </c>
      <c r="U22" s="4">
        <f>IFERROR(((BS_Timeline!U11+BS_Timeline!V11)/2)/IS_Flow!Y11*92,"")</f>
        <v/>
      </c>
    </row>
    <row r="23">
      <c r="A23" s="1" t="inlineStr">
        <is>
          <t>DPO (วัน)</t>
        </is>
      </c>
      <c r="B23" s="4">
        <f>IFERROR(((BS_Timeline!B12+BS_Timeline!C12)/2)/IS_Flow!B11*90,"")</f>
        <v/>
      </c>
      <c r="C23" s="4">
        <f>IFERROR(((BS_Timeline!C12+BS_Timeline!D12)/2)/IS_Flow!C11*91,"")</f>
        <v/>
      </c>
      <c r="D23" s="4">
        <f>IFERROR(((BS_Timeline!D12+BS_Timeline!E12)/2)/IS_Flow!D11*92,"")</f>
        <v/>
      </c>
      <c r="E23" s="4">
        <f>IFERROR(((BS_Timeline!E12+BS_Timeline!F12)/2)/IS_Flow!E11*92,"")</f>
        <v/>
      </c>
      <c r="F23" s="4">
        <f>IFERROR(((BS_Timeline!F12+BS_Timeline!G12)/2)/IS_Flow!G11*90,"")</f>
        <v/>
      </c>
      <c r="G23" s="4">
        <f>IFERROR(((BS_Timeline!G12+BS_Timeline!H12)/2)/IS_Flow!H11*91,"")</f>
        <v/>
      </c>
      <c r="H23" s="4">
        <f>IFERROR(((BS_Timeline!H12+BS_Timeline!I12)/2)/IS_Flow!I11*92,"")</f>
        <v/>
      </c>
      <c r="I23" s="4">
        <f>IFERROR(((BS_Timeline!I12+BS_Timeline!J12)/2)/IS_Flow!J11*92,"")</f>
        <v/>
      </c>
      <c r="J23" s="4">
        <f>IFERROR(((BS_Timeline!J12+BS_Timeline!K12)/2)/IS_Flow!L11*90,"")</f>
        <v/>
      </c>
      <c r="K23" s="4">
        <f>IFERROR(((BS_Timeline!K12+BS_Timeline!L12)/2)/IS_Flow!M11*91,"")</f>
        <v/>
      </c>
      <c r="L23" s="4">
        <f>IFERROR(((BS_Timeline!L12+BS_Timeline!M12)/2)/IS_Flow!N11*92,"")</f>
        <v/>
      </c>
      <c r="M23" s="4">
        <f>IFERROR(((BS_Timeline!M12+BS_Timeline!N12)/2)/IS_Flow!O11*92,"")</f>
        <v/>
      </c>
      <c r="N23" s="4">
        <f>IFERROR(((BS_Timeline!N12+BS_Timeline!O12)/2)/IS_Flow!Q11*90,"")</f>
        <v/>
      </c>
      <c r="O23" s="4">
        <f>IFERROR(((BS_Timeline!O12+BS_Timeline!P12)/2)/IS_Flow!R11*91,"")</f>
        <v/>
      </c>
      <c r="P23" s="4">
        <f>IFERROR(((BS_Timeline!P12+BS_Timeline!Q12)/2)/IS_Flow!S11*92,"")</f>
        <v/>
      </c>
      <c r="Q23" s="4">
        <f>IFERROR(((BS_Timeline!Q12+BS_Timeline!R12)/2)/IS_Flow!T11*92,"")</f>
        <v/>
      </c>
      <c r="R23" s="4">
        <f>IFERROR(((BS_Timeline!R12+BS_Timeline!S12)/2)/IS_Flow!V11*90,"")</f>
        <v/>
      </c>
      <c r="S23" s="4">
        <f>IFERROR(((BS_Timeline!S12+BS_Timeline!T12)/2)/IS_Flow!W11*91,"")</f>
        <v/>
      </c>
      <c r="T23" s="4">
        <f>IFERROR(((BS_Timeline!T12+BS_Timeline!U12)/2)/IS_Flow!X11*92,"")</f>
        <v/>
      </c>
      <c r="U23" s="4">
        <f>IFERROR(((BS_Timeline!U12+BS_Timeline!V12)/2)/IS_Flow!Y11*92,"")</f>
        <v/>
      </c>
    </row>
    <row r="24">
      <c r="A24" s="1" t="inlineStr">
        <is>
          <t>CCC (วัน)</t>
        </is>
      </c>
      <c r="B24" s="4">
        <f>IFERROR(B21+B22-B23,"")</f>
        <v/>
      </c>
      <c r="C24" s="4">
        <f>IFERROR(C21+C22-C23,"")</f>
        <v/>
      </c>
      <c r="D24" s="4">
        <f>IFERROR(D21+D22-D23,"")</f>
        <v/>
      </c>
      <c r="E24" s="4">
        <f>IFERROR(E21+E22-E23,"")</f>
        <v/>
      </c>
      <c r="F24" s="4">
        <f>IFERROR(F21+F22-F23,"")</f>
        <v/>
      </c>
      <c r="G24" s="4">
        <f>IFERROR(G21+G22-G23,"")</f>
        <v/>
      </c>
      <c r="H24" s="4">
        <f>IFERROR(H21+H22-H23,"")</f>
        <v/>
      </c>
      <c r="I24" s="4">
        <f>IFERROR(I21+I22-I23,"")</f>
        <v/>
      </c>
      <c r="J24" s="4">
        <f>IFERROR(J21+J22-J23,"")</f>
        <v/>
      </c>
      <c r="K24" s="4">
        <f>IFERROR(K21+K22-K23,"")</f>
        <v/>
      </c>
      <c r="L24" s="4">
        <f>IFERROR(L21+L22-L23,"")</f>
        <v/>
      </c>
      <c r="M24" s="4">
        <f>IFERROR(M21+M22-M23,"")</f>
        <v/>
      </c>
      <c r="N24" s="4">
        <f>IFERROR(N21+N22-N23,"")</f>
        <v/>
      </c>
      <c r="O24" s="4">
        <f>IFERROR(O21+O22-O23,"")</f>
        <v/>
      </c>
      <c r="P24" s="4">
        <f>IFERROR(P21+P22-P23,"")</f>
        <v/>
      </c>
      <c r="Q24" s="4">
        <f>IFERROR(Q21+Q22-Q23,"")</f>
        <v/>
      </c>
      <c r="R24" s="4">
        <f>IFERROR(R21+R22-R23,"")</f>
        <v/>
      </c>
      <c r="S24" s="4">
        <f>IFERROR(S21+S22-S23,"")</f>
        <v/>
      </c>
      <c r="T24" s="4">
        <f>IFERROR(T21+T22-T23,"")</f>
        <v/>
      </c>
      <c r="U24" s="4">
        <f>IFERROR(U21+U22-U23,"")</f>
        <v/>
      </c>
    </row>
    <row r="25">
      <c r="A25" s="1" t="inlineStr">
        <is>
          <t>ROA รายไตรมาส (%)</t>
        </is>
      </c>
      <c r="B25" s="3">
        <f>IFERROR(IS_Flow!B12/((BS_Timeline!B13+BS_Timeline!C13)/2),"")</f>
        <v/>
      </c>
      <c r="C25" s="3">
        <f>IFERROR(IS_Flow!C12/((BS_Timeline!C13+BS_Timeline!D13)/2),"")</f>
        <v/>
      </c>
      <c r="D25" s="3">
        <f>IFERROR(IS_Flow!D12/((BS_Timeline!D13+BS_Timeline!E13)/2),"")</f>
        <v/>
      </c>
      <c r="E25" s="3">
        <f>IFERROR(IS_Flow!E12/((BS_Timeline!E13+BS_Timeline!F13)/2),"")</f>
        <v/>
      </c>
      <c r="F25" s="3">
        <f>IFERROR(IS_Flow!G12/((BS_Timeline!F13+BS_Timeline!G13)/2),"")</f>
        <v/>
      </c>
      <c r="G25" s="3">
        <f>IFERROR(IS_Flow!H12/((BS_Timeline!G13+BS_Timeline!H13)/2),"")</f>
        <v/>
      </c>
      <c r="H25" s="3">
        <f>IFERROR(IS_Flow!I12/((BS_Timeline!H13+BS_Timeline!I13)/2),"")</f>
        <v/>
      </c>
      <c r="I25" s="3">
        <f>IFERROR(IS_Flow!J12/((BS_Timeline!I13+BS_Timeline!J13)/2),"")</f>
        <v/>
      </c>
      <c r="J25" s="3">
        <f>IFERROR(IS_Flow!L12/((BS_Timeline!J13+BS_Timeline!K13)/2),"")</f>
        <v/>
      </c>
      <c r="K25" s="3">
        <f>IFERROR(IS_Flow!M12/((BS_Timeline!K13+BS_Timeline!L13)/2),"")</f>
        <v/>
      </c>
      <c r="L25" s="3">
        <f>IFERROR(IS_Flow!N12/((BS_Timeline!L13+BS_Timeline!M13)/2),"")</f>
        <v/>
      </c>
      <c r="M25" s="3">
        <f>IFERROR(IS_Flow!O12/((BS_Timeline!M13+BS_Timeline!N13)/2),"")</f>
        <v/>
      </c>
      <c r="N25" s="3">
        <f>IFERROR(IS_Flow!Q12/((BS_Timeline!N13+BS_Timeline!O13)/2),"")</f>
        <v/>
      </c>
      <c r="O25" s="3">
        <f>IFERROR(IS_Flow!R12/((BS_Timeline!O13+BS_Timeline!P13)/2),"")</f>
        <v/>
      </c>
      <c r="P25" s="3">
        <f>IFERROR(IS_Flow!S12/((BS_Timeline!P13+BS_Timeline!Q13)/2),"")</f>
        <v/>
      </c>
      <c r="Q25" s="3">
        <f>IFERROR(IS_Flow!T12/((BS_Timeline!Q13+BS_Timeline!R13)/2),"")</f>
        <v/>
      </c>
      <c r="R25" s="3">
        <f>IFERROR(IS_Flow!V12/((BS_Timeline!R13+BS_Timeline!S13)/2),"")</f>
        <v/>
      </c>
      <c r="S25" s="3">
        <f>IFERROR(IS_Flow!W12/((BS_Timeline!S13+BS_Timeline!T13)/2),"")</f>
        <v/>
      </c>
      <c r="T25" s="3">
        <f>IFERROR(IS_Flow!X12/((BS_Timeline!T13+BS_Timeline!U13)/2),"")</f>
        <v/>
      </c>
      <c r="U25" s="3">
        <f>IFERROR(IS_Flow!Y12/((BS_Timeline!U13+BS_Timeline!V13)/2),"")</f>
        <v/>
      </c>
    </row>
    <row r="26">
      <c r="A26" s="1" t="inlineStr">
        <is>
          <t>ROE รายไตรมาส (%)</t>
        </is>
      </c>
      <c r="B26" s="3">
        <f>IFERROR(IS_Flow!B12/((BS_Timeline!B14+BS_Timeline!C14)/2),"")</f>
        <v/>
      </c>
      <c r="C26" s="3">
        <f>IFERROR(IS_Flow!C12/((BS_Timeline!C14+BS_Timeline!D14)/2),"")</f>
        <v/>
      </c>
      <c r="D26" s="3">
        <f>IFERROR(IS_Flow!D12/((BS_Timeline!D14+BS_Timeline!E14)/2),"")</f>
        <v/>
      </c>
      <c r="E26" s="3">
        <f>IFERROR(IS_Flow!E12/((BS_Timeline!E14+BS_Timeline!F14)/2),"")</f>
        <v/>
      </c>
      <c r="F26" s="3">
        <f>IFERROR(IS_Flow!G12/((BS_Timeline!F14+BS_Timeline!G14)/2),"")</f>
        <v/>
      </c>
      <c r="G26" s="3">
        <f>IFERROR(IS_Flow!H12/((BS_Timeline!G14+BS_Timeline!H14)/2),"")</f>
        <v/>
      </c>
      <c r="H26" s="3">
        <f>IFERROR(IS_Flow!I12/((BS_Timeline!H14+BS_Timeline!I14)/2),"")</f>
        <v/>
      </c>
      <c r="I26" s="3">
        <f>IFERROR(IS_Flow!J12/((BS_Timeline!I14+BS_Timeline!J14)/2),"")</f>
        <v/>
      </c>
      <c r="J26" s="3">
        <f>IFERROR(IS_Flow!L12/((BS_Timeline!J14+BS_Timeline!K14)/2),"")</f>
        <v/>
      </c>
      <c r="K26" s="3">
        <f>IFERROR(IS_Flow!M12/((BS_Timeline!K14+BS_Timeline!L14)/2),"")</f>
        <v/>
      </c>
      <c r="L26" s="3">
        <f>IFERROR(IS_Flow!N12/((BS_Timeline!L14+BS_Timeline!M14)/2),"")</f>
        <v/>
      </c>
      <c r="M26" s="3">
        <f>IFERROR(IS_Flow!O12/((BS_Timeline!M14+BS_Timeline!N14)/2),"")</f>
        <v/>
      </c>
      <c r="N26" s="3">
        <f>IFERROR(IS_Flow!Q12/((BS_Timeline!N14+BS_Timeline!O14)/2),"")</f>
        <v/>
      </c>
      <c r="O26" s="3">
        <f>IFERROR(IS_Flow!R12/((BS_Timeline!O14+BS_Timeline!P14)/2),"")</f>
        <v/>
      </c>
      <c r="P26" s="3">
        <f>IFERROR(IS_Flow!S12/((BS_Timeline!P14+BS_Timeline!Q14)/2),"")</f>
        <v/>
      </c>
      <c r="Q26" s="3">
        <f>IFERROR(IS_Flow!T12/((BS_Timeline!Q14+BS_Timeline!R14)/2),"")</f>
        <v/>
      </c>
      <c r="R26" s="3">
        <f>IFERROR(IS_Flow!V12/((BS_Timeline!R14+BS_Timeline!S14)/2),"")</f>
        <v/>
      </c>
      <c r="S26" s="3">
        <f>IFERROR(IS_Flow!W12/((BS_Timeline!S14+BS_Timeline!T14)/2),"")</f>
        <v/>
      </c>
      <c r="T26" s="3">
        <f>IFERROR(IS_Flow!X12/((BS_Timeline!T14+BS_Timeline!U14)/2),"")</f>
        <v/>
      </c>
      <c r="U26" s="3">
        <f>IFERROR(IS_Flow!Y12/((BS_Timeline!U14+BS_Timeline!V14)/2),"")</f>
        <v/>
      </c>
    </row>
    <row r="27">
      <c r="A27" s="1" t="inlineStr">
        <is>
          <t>D/E (เท่า)</t>
        </is>
      </c>
      <c r="B27" s="4">
        <f>IFERROR(BS_Timeline!C15/BS_Timeline!C14,"")</f>
        <v/>
      </c>
      <c r="C27" s="4">
        <f>IFERROR(BS_Timeline!D15/BS_Timeline!D14,"")</f>
        <v/>
      </c>
      <c r="D27" s="4">
        <f>IFERROR(BS_Timeline!E15/BS_Timeline!E14,"")</f>
        <v/>
      </c>
      <c r="E27" s="4">
        <f>IFERROR(BS_Timeline!F15/BS_Timeline!F14,"")</f>
        <v/>
      </c>
      <c r="F27" s="4">
        <f>IFERROR(BS_Timeline!G15/BS_Timeline!G14,"")</f>
        <v/>
      </c>
      <c r="G27" s="4">
        <f>IFERROR(BS_Timeline!H15/BS_Timeline!H14,"")</f>
        <v/>
      </c>
      <c r="H27" s="4">
        <f>IFERROR(BS_Timeline!I15/BS_Timeline!I14,"")</f>
        <v/>
      </c>
      <c r="I27" s="4">
        <f>IFERROR(BS_Timeline!J15/BS_Timeline!J14,"")</f>
        <v/>
      </c>
      <c r="J27" s="4">
        <f>IFERROR(BS_Timeline!K15/BS_Timeline!K14,"")</f>
        <v/>
      </c>
      <c r="K27" s="4">
        <f>IFERROR(BS_Timeline!L15/BS_Timeline!L14,"")</f>
        <v/>
      </c>
      <c r="L27" s="4">
        <f>IFERROR(BS_Timeline!M15/BS_Timeline!M14,"")</f>
        <v/>
      </c>
      <c r="M27" s="4">
        <f>IFERROR(BS_Timeline!N15/BS_Timeline!N14,"")</f>
        <v/>
      </c>
      <c r="N27" s="4">
        <f>IFERROR(BS_Timeline!O15/BS_Timeline!O14,"")</f>
        <v/>
      </c>
      <c r="O27" s="4">
        <f>IFERROR(BS_Timeline!P15/BS_Timeline!P14,"")</f>
        <v/>
      </c>
      <c r="P27" s="4">
        <f>IFERROR(BS_Timeline!Q15/BS_Timeline!Q14,"")</f>
        <v/>
      </c>
      <c r="Q27" s="4">
        <f>IFERROR(BS_Timeline!R15/BS_Timeline!R14,"")</f>
        <v/>
      </c>
      <c r="R27" s="4">
        <f>IFERROR(BS_Timeline!S15/BS_Timeline!S14,"")</f>
        <v/>
      </c>
      <c r="S27" s="4">
        <f>IFERROR(BS_Timeline!T15/BS_Timeline!T14,"")</f>
        <v/>
      </c>
      <c r="T27" s="4">
        <f>IFERROR(BS_Timeline!U15/BS_Timeline!U14,"")</f>
        <v/>
      </c>
      <c r="U27" s="4">
        <f>IFERROR(BS_Timeline!V15/BS_Timeline!V14,"")</f>
        <v/>
      </c>
    </row>
    <row r="28">
      <c r="A28" s="7" t="inlineStr">
        <is>
          <t>■ DUSIT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1" t="inlineStr">
        <is>
          <t>รายได้รวม (ล้านบาท)</t>
        </is>
      </c>
      <c r="B29" s="4">
        <f>IS_Flow!B15</f>
        <v/>
      </c>
      <c r="C29" s="4">
        <f>IS_Flow!C15</f>
        <v/>
      </c>
      <c r="D29" s="4">
        <f>IS_Flow!D15</f>
        <v/>
      </c>
      <c r="E29" s="4">
        <f>IS_Flow!E15</f>
        <v/>
      </c>
      <c r="F29" s="4">
        <f>IS_Flow!G15</f>
        <v/>
      </c>
      <c r="G29" s="4">
        <f>IS_Flow!H15</f>
        <v/>
      </c>
      <c r="H29" s="4">
        <f>IS_Flow!I15</f>
        <v/>
      </c>
      <c r="I29" s="4">
        <f>IS_Flow!J15</f>
        <v/>
      </c>
      <c r="J29" s="4">
        <f>IS_Flow!L15</f>
        <v/>
      </c>
      <c r="K29" s="4">
        <f>IS_Flow!M15</f>
        <v/>
      </c>
      <c r="L29" s="4">
        <f>IS_Flow!N15</f>
        <v/>
      </c>
      <c r="M29" s="4">
        <f>IS_Flow!O15</f>
        <v/>
      </c>
      <c r="N29" s="4">
        <f>IS_Flow!Q15</f>
        <v/>
      </c>
      <c r="O29" s="4">
        <f>IS_Flow!R15</f>
        <v/>
      </c>
      <c r="P29" s="4">
        <f>IS_Flow!S15</f>
        <v/>
      </c>
      <c r="Q29" s="4">
        <f>IS_Flow!T15</f>
        <v/>
      </c>
      <c r="R29" s="4">
        <f>IS_Flow!V15</f>
        <v/>
      </c>
      <c r="S29" s="4">
        <f>IS_Flow!W15</f>
        <v/>
      </c>
      <c r="T29" s="4">
        <f>IS_Flow!X15</f>
        <v/>
      </c>
      <c r="U29" s="4">
        <f>IS_Flow!Y15</f>
        <v/>
      </c>
    </row>
    <row r="30">
      <c r="A30" s="1" t="inlineStr">
        <is>
          <t>ต้นทุนขาย (ล้านบาท)</t>
        </is>
      </c>
      <c r="B30" s="4">
        <f>IS_Flow!B17</f>
        <v/>
      </c>
      <c r="C30" s="4">
        <f>IS_Flow!C17</f>
        <v/>
      </c>
      <c r="D30" s="4">
        <f>IS_Flow!D17</f>
        <v/>
      </c>
      <c r="E30" s="4">
        <f>IS_Flow!E17</f>
        <v/>
      </c>
      <c r="F30" s="4">
        <f>IS_Flow!G17</f>
        <v/>
      </c>
      <c r="G30" s="4">
        <f>IS_Flow!H17</f>
        <v/>
      </c>
      <c r="H30" s="4">
        <f>IS_Flow!I17</f>
        <v/>
      </c>
      <c r="I30" s="4">
        <f>IS_Flow!J17</f>
        <v/>
      </c>
      <c r="J30" s="4">
        <f>IS_Flow!L17</f>
        <v/>
      </c>
      <c r="K30" s="4">
        <f>IS_Flow!M17</f>
        <v/>
      </c>
      <c r="L30" s="4">
        <f>IS_Flow!N17</f>
        <v/>
      </c>
      <c r="M30" s="4">
        <f>IS_Flow!O17</f>
        <v/>
      </c>
      <c r="N30" s="4">
        <f>IS_Flow!Q17</f>
        <v/>
      </c>
      <c r="O30" s="4">
        <f>IS_Flow!R17</f>
        <v/>
      </c>
      <c r="P30" s="4">
        <f>IS_Flow!S17</f>
        <v/>
      </c>
      <c r="Q30" s="4">
        <f>IS_Flow!T17</f>
        <v/>
      </c>
      <c r="R30" s="4">
        <f>IS_Flow!V17</f>
        <v/>
      </c>
      <c r="S30" s="4">
        <f>IS_Flow!W17</f>
        <v/>
      </c>
      <c r="T30" s="4">
        <f>IS_Flow!X17</f>
        <v/>
      </c>
      <c r="U30" s="4">
        <f>IS_Flow!Y17</f>
        <v/>
      </c>
    </row>
    <row r="31">
      <c r="A31" s="1" t="inlineStr">
        <is>
          <t>กำไรสุทธิ (ล้านบาท)</t>
        </is>
      </c>
      <c r="B31" s="4">
        <f>IS_Flow!B18</f>
        <v/>
      </c>
      <c r="C31" s="4">
        <f>IS_Flow!C18</f>
        <v/>
      </c>
      <c r="D31" s="4">
        <f>IS_Flow!D18</f>
        <v/>
      </c>
      <c r="E31" s="4">
        <f>IS_Flow!E18</f>
        <v/>
      </c>
      <c r="F31" s="4">
        <f>IS_Flow!G18</f>
        <v/>
      </c>
      <c r="G31" s="4">
        <f>IS_Flow!H18</f>
        <v/>
      </c>
      <c r="H31" s="4">
        <f>IS_Flow!I18</f>
        <v/>
      </c>
      <c r="I31" s="4">
        <f>IS_Flow!J18</f>
        <v/>
      </c>
      <c r="J31" s="4">
        <f>IS_Flow!L18</f>
        <v/>
      </c>
      <c r="K31" s="4">
        <f>IS_Flow!M18</f>
        <v/>
      </c>
      <c r="L31" s="4">
        <f>IS_Flow!N18</f>
        <v/>
      </c>
      <c r="M31" s="4">
        <f>IS_Flow!O18</f>
        <v/>
      </c>
      <c r="N31" s="4">
        <f>IS_Flow!Q18</f>
        <v/>
      </c>
      <c r="O31" s="4">
        <f>IS_Flow!R18</f>
        <v/>
      </c>
      <c r="P31" s="4">
        <f>IS_Flow!S18</f>
        <v/>
      </c>
      <c r="Q31" s="4">
        <f>IS_Flow!T18</f>
        <v/>
      </c>
      <c r="R31" s="4">
        <f>IS_Flow!V18</f>
        <v/>
      </c>
      <c r="S31" s="4">
        <f>IS_Flow!W18</f>
        <v/>
      </c>
      <c r="T31" s="4">
        <f>IS_Flow!X18</f>
        <v/>
      </c>
      <c r="U31" s="4">
        <f>IS_Flow!Y18</f>
        <v/>
      </c>
    </row>
    <row r="32">
      <c r="A32" s="1" t="inlineStr">
        <is>
          <t>NPM (%)</t>
        </is>
      </c>
      <c r="B32" s="3">
        <f>IFERROR(IS_Flow!B18/IS_Flow!B15,"")</f>
        <v/>
      </c>
      <c r="C32" s="3">
        <f>IFERROR(IS_Flow!C18/IS_Flow!C15,"")</f>
        <v/>
      </c>
      <c r="D32" s="3">
        <f>IFERROR(IS_Flow!D18/IS_Flow!D15,"")</f>
        <v/>
      </c>
      <c r="E32" s="3">
        <f>IFERROR(IS_Flow!E18/IS_Flow!E15,"")</f>
        <v/>
      </c>
      <c r="F32" s="3">
        <f>IFERROR(IS_Flow!G18/IS_Flow!G15,"")</f>
        <v/>
      </c>
      <c r="G32" s="3">
        <f>IFERROR(IS_Flow!H18/IS_Flow!H15,"")</f>
        <v/>
      </c>
      <c r="H32" s="3">
        <f>IFERROR(IS_Flow!I18/IS_Flow!I15,"")</f>
        <v/>
      </c>
      <c r="I32" s="3">
        <f>IFERROR(IS_Flow!J18/IS_Flow!J15,"")</f>
        <v/>
      </c>
      <c r="J32" s="3">
        <f>IFERROR(IS_Flow!L18/IS_Flow!L15,"")</f>
        <v/>
      </c>
      <c r="K32" s="3">
        <f>IFERROR(IS_Flow!M18/IS_Flow!M15,"")</f>
        <v/>
      </c>
      <c r="L32" s="3">
        <f>IFERROR(IS_Flow!N18/IS_Flow!N15,"")</f>
        <v/>
      </c>
      <c r="M32" s="3">
        <f>IFERROR(IS_Flow!O18/IS_Flow!O15,"")</f>
        <v/>
      </c>
      <c r="N32" s="3">
        <f>IFERROR(IS_Flow!Q18/IS_Flow!Q15,"")</f>
        <v/>
      </c>
      <c r="O32" s="3">
        <f>IFERROR(IS_Flow!R18/IS_Flow!R15,"")</f>
        <v/>
      </c>
      <c r="P32" s="3">
        <f>IFERROR(IS_Flow!S18/IS_Flow!S15,"")</f>
        <v/>
      </c>
      <c r="Q32" s="3">
        <f>IFERROR(IS_Flow!T18/IS_Flow!T15,"")</f>
        <v/>
      </c>
      <c r="R32" s="3">
        <f>IFERROR(IS_Flow!V18/IS_Flow!V15,"")</f>
        <v/>
      </c>
      <c r="S32" s="3">
        <f>IFERROR(IS_Flow!W18/IS_Flow!W15,"")</f>
        <v/>
      </c>
      <c r="T32" s="3">
        <f>IFERROR(IS_Flow!X18/IS_Flow!X15,"")</f>
        <v/>
      </c>
      <c r="U32" s="3">
        <f>IFERROR(IS_Flow!Y18/IS_Flow!Y15,"")</f>
        <v/>
      </c>
    </row>
    <row r="33">
      <c r="A33" s="1" t="inlineStr">
        <is>
          <t>Gross Margin (%)</t>
        </is>
      </c>
      <c r="B33" s="3">
        <f>IFERROR((IS_Flow!B15-IS_Flow!B16-IS_Flow!B17)/(IS_Flow!B15-IS_Flow!B16),"")</f>
        <v/>
      </c>
      <c r="C33" s="3">
        <f>IFERROR((IS_Flow!C15-IS_Flow!C16-IS_Flow!C17)/(IS_Flow!C15-IS_Flow!C16),"")</f>
        <v/>
      </c>
      <c r="D33" s="3">
        <f>IFERROR((IS_Flow!D15-IS_Flow!D16-IS_Flow!D17)/(IS_Flow!D15-IS_Flow!D16),"")</f>
        <v/>
      </c>
      <c r="E33" s="3">
        <f>IFERROR((IS_Flow!E15-IS_Flow!E16-IS_Flow!E17)/(IS_Flow!E15-IS_Flow!E16),"")</f>
        <v/>
      </c>
      <c r="F33" s="3">
        <f>IFERROR((IS_Flow!G15-IS_Flow!G16-IS_Flow!G17)/(IS_Flow!G15-IS_Flow!G16),"")</f>
        <v/>
      </c>
      <c r="G33" s="3">
        <f>IFERROR((IS_Flow!H15-IS_Flow!H16-IS_Flow!H17)/(IS_Flow!H15-IS_Flow!H16),"")</f>
        <v/>
      </c>
      <c r="H33" s="3">
        <f>IFERROR((IS_Flow!I15-IS_Flow!I16-IS_Flow!I17)/(IS_Flow!I15-IS_Flow!I16),"")</f>
        <v/>
      </c>
      <c r="I33" s="3">
        <f>IFERROR((IS_Flow!J15-IS_Flow!J16-IS_Flow!J17)/(IS_Flow!J15-IS_Flow!J16),"")</f>
        <v/>
      </c>
      <c r="J33" s="3">
        <f>IFERROR((IS_Flow!L15-IS_Flow!L16-IS_Flow!L17)/(IS_Flow!L15-IS_Flow!L16),"")</f>
        <v/>
      </c>
      <c r="K33" s="3">
        <f>IFERROR((IS_Flow!M15-IS_Flow!M16-IS_Flow!M17)/(IS_Flow!M15-IS_Flow!M16),"")</f>
        <v/>
      </c>
      <c r="L33" s="3">
        <f>IFERROR((IS_Flow!N15-IS_Flow!N16-IS_Flow!N17)/(IS_Flow!N15-IS_Flow!N16),"")</f>
        <v/>
      </c>
      <c r="M33" s="3">
        <f>IFERROR((IS_Flow!O15-IS_Flow!O16-IS_Flow!O17)/(IS_Flow!O15-IS_Flow!O16),"")</f>
        <v/>
      </c>
      <c r="N33" s="3">
        <f>IFERROR((IS_Flow!Q15-IS_Flow!Q16-IS_Flow!Q17)/(IS_Flow!Q15-IS_Flow!Q16),"")</f>
        <v/>
      </c>
      <c r="O33" s="3">
        <f>IFERROR((IS_Flow!R15-IS_Flow!R16-IS_Flow!R17)/(IS_Flow!R15-IS_Flow!R16),"")</f>
        <v/>
      </c>
      <c r="P33" s="3">
        <f>IFERROR((IS_Flow!S15-IS_Flow!S16-IS_Flow!S17)/(IS_Flow!S15-IS_Flow!S16),"")</f>
        <v/>
      </c>
      <c r="Q33" s="3">
        <f>IFERROR((IS_Flow!T15-IS_Flow!T16-IS_Flow!T17)/(IS_Flow!T15-IS_Flow!T16),"")</f>
        <v/>
      </c>
      <c r="R33" s="3">
        <f>IFERROR((IS_Flow!V15-IS_Flow!V16-IS_Flow!V17)/(IS_Flow!V15-IS_Flow!V16),"")</f>
        <v/>
      </c>
      <c r="S33" s="3">
        <f>IFERROR((IS_Flow!W15-IS_Flow!W16-IS_Flow!W17)/(IS_Flow!W15-IS_Flow!W16),"")</f>
        <v/>
      </c>
      <c r="T33" s="3">
        <f>IFERROR((IS_Flow!X15-IS_Flow!X16-IS_Flow!X17)/(IS_Flow!X15-IS_Flow!X16),"")</f>
        <v/>
      </c>
      <c r="U33" s="3">
        <f>IFERROR((IS_Flow!Y15-IS_Flow!Y16-IS_Flow!Y17)/(IS_Flow!Y15-IS_Flow!Y16),"")</f>
        <v/>
      </c>
    </row>
    <row r="34">
      <c r="A34" s="1" t="inlineStr">
        <is>
          <t>DSO (วัน)</t>
        </is>
      </c>
      <c r="B34" s="4">
        <f>IFERROR(((BS_Timeline!B17+BS_Timeline!C17)/2)/IS_Flow!B15*90,"")</f>
        <v/>
      </c>
      <c r="C34" s="4">
        <f>IFERROR(((BS_Timeline!C17+BS_Timeline!D17)/2)/IS_Flow!C15*91,"")</f>
        <v/>
      </c>
      <c r="D34" s="4">
        <f>IFERROR(((BS_Timeline!D17+BS_Timeline!E17)/2)/IS_Flow!D15*92,"")</f>
        <v/>
      </c>
      <c r="E34" s="4">
        <f>IFERROR(((BS_Timeline!E17+BS_Timeline!F17)/2)/IS_Flow!E15*92,"")</f>
        <v/>
      </c>
      <c r="F34" s="4">
        <f>IFERROR(((BS_Timeline!F17+BS_Timeline!G17)/2)/IS_Flow!G15*90,"")</f>
        <v/>
      </c>
      <c r="G34" s="4">
        <f>IFERROR(((BS_Timeline!G17+BS_Timeline!H17)/2)/IS_Flow!H15*91,"")</f>
        <v/>
      </c>
      <c r="H34" s="4">
        <f>IFERROR(((BS_Timeline!H17+BS_Timeline!I17)/2)/IS_Flow!I15*92,"")</f>
        <v/>
      </c>
      <c r="I34" s="4">
        <f>IFERROR(((BS_Timeline!I17+BS_Timeline!J17)/2)/IS_Flow!J15*92,"")</f>
        <v/>
      </c>
      <c r="J34" s="4">
        <f>IFERROR(((BS_Timeline!J17+BS_Timeline!K17)/2)/IS_Flow!L15*90,"")</f>
        <v/>
      </c>
      <c r="K34" s="4">
        <f>IFERROR(((BS_Timeline!K17+BS_Timeline!L17)/2)/IS_Flow!M15*91,"")</f>
        <v/>
      </c>
      <c r="L34" s="4">
        <f>IFERROR(((BS_Timeline!L17+BS_Timeline!M17)/2)/IS_Flow!N15*92,"")</f>
        <v/>
      </c>
      <c r="M34" s="4">
        <f>IFERROR(((BS_Timeline!M17+BS_Timeline!N17)/2)/IS_Flow!O15*92,"")</f>
        <v/>
      </c>
      <c r="N34" s="4">
        <f>IFERROR(((BS_Timeline!N17+BS_Timeline!O17)/2)/IS_Flow!Q15*90,"")</f>
        <v/>
      </c>
      <c r="O34" s="4">
        <f>IFERROR(((BS_Timeline!O17+BS_Timeline!P17)/2)/IS_Flow!R15*91,"")</f>
        <v/>
      </c>
      <c r="P34" s="4">
        <f>IFERROR(((BS_Timeline!P17+BS_Timeline!Q17)/2)/IS_Flow!S15*92,"")</f>
        <v/>
      </c>
      <c r="Q34" s="4">
        <f>IFERROR(((BS_Timeline!Q17+BS_Timeline!R17)/2)/IS_Flow!T15*92,"")</f>
        <v/>
      </c>
      <c r="R34" s="4">
        <f>IFERROR(((BS_Timeline!R17+BS_Timeline!S17)/2)/IS_Flow!V15*90,"")</f>
        <v/>
      </c>
      <c r="S34" s="4">
        <f>IFERROR(((BS_Timeline!S17+BS_Timeline!T17)/2)/IS_Flow!W15*91,"")</f>
        <v/>
      </c>
      <c r="T34" s="4">
        <f>IFERROR(((BS_Timeline!T17+BS_Timeline!U17)/2)/IS_Flow!X15*92,"")</f>
        <v/>
      </c>
      <c r="U34" s="4">
        <f>IFERROR(((BS_Timeline!U17+BS_Timeline!V17)/2)/IS_Flow!Y15*92,"")</f>
        <v/>
      </c>
    </row>
    <row r="35">
      <c r="A35" s="1" t="inlineStr">
        <is>
          <t>DIO (วัน)</t>
        </is>
      </c>
      <c r="B35" s="4">
        <f>IFERROR(((BS_Timeline!B18+BS_Timeline!C18)/2)/IS_Flow!B17*90,"")</f>
        <v/>
      </c>
      <c r="C35" s="4">
        <f>IFERROR(((BS_Timeline!C18+BS_Timeline!D18)/2)/IS_Flow!C17*91,"")</f>
        <v/>
      </c>
      <c r="D35" s="4">
        <f>IFERROR(((BS_Timeline!D18+BS_Timeline!E18)/2)/IS_Flow!D17*92,"")</f>
        <v/>
      </c>
      <c r="E35" s="4">
        <f>IFERROR(((BS_Timeline!E18+BS_Timeline!F18)/2)/IS_Flow!E17*92,"")</f>
        <v/>
      </c>
      <c r="F35" s="4">
        <f>IFERROR(((BS_Timeline!F18+BS_Timeline!G18)/2)/IS_Flow!G17*90,"")</f>
        <v/>
      </c>
      <c r="G35" s="4">
        <f>IFERROR(((BS_Timeline!G18+BS_Timeline!H18)/2)/IS_Flow!H17*91,"")</f>
        <v/>
      </c>
      <c r="H35" s="4">
        <f>IFERROR(((BS_Timeline!H18+BS_Timeline!I18)/2)/IS_Flow!I17*92,"")</f>
        <v/>
      </c>
      <c r="I35" s="4">
        <f>IFERROR(((BS_Timeline!I18+BS_Timeline!J18)/2)/IS_Flow!J17*92,"")</f>
        <v/>
      </c>
      <c r="J35" s="4">
        <f>IFERROR(((BS_Timeline!J18+BS_Timeline!K18)/2)/IS_Flow!L17*90,"")</f>
        <v/>
      </c>
      <c r="K35" s="4">
        <f>IFERROR(((BS_Timeline!K18+BS_Timeline!L18)/2)/IS_Flow!M17*91,"")</f>
        <v/>
      </c>
      <c r="L35" s="4">
        <f>IFERROR(((BS_Timeline!L18+BS_Timeline!M18)/2)/IS_Flow!N17*92,"")</f>
        <v/>
      </c>
      <c r="M35" s="4">
        <f>IFERROR(((BS_Timeline!M18+BS_Timeline!N18)/2)/IS_Flow!O17*92,"")</f>
        <v/>
      </c>
      <c r="N35" s="4">
        <f>IFERROR(((BS_Timeline!N18+BS_Timeline!O18)/2)/IS_Flow!Q17*90,"")</f>
        <v/>
      </c>
      <c r="O35" s="4">
        <f>IFERROR(((BS_Timeline!O18+BS_Timeline!P18)/2)/IS_Flow!R17*91,"")</f>
        <v/>
      </c>
      <c r="P35" s="4">
        <f>IFERROR(((BS_Timeline!P18+BS_Timeline!Q18)/2)/IS_Flow!S17*92,"")</f>
        <v/>
      </c>
      <c r="Q35" s="4">
        <f>IFERROR(((BS_Timeline!Q18+BS_Timeline!R18)/2)/IS_Flow!T17*92,"")</f>
        <v/>
      </c>
      <c r="R35" s="4">
        <f>IFERROR(((BS_Timeline!R18+BS_Timeline!S18)/2)/IS_Flow!V17*90,"")</f>
        <v/>
      </c>
      <c r="S35" s="4">
        <f>IFERROR(((BS_Timeline!S18+BS_Timeline!T18)/2)/IS_Flow!W17*91,"")</f>
        <v/>
      </c>
      <c r="T35" s="4">
        <f>IFERROR(((BS_Timeline!T18+BS_Timeline!U18)/2)/IS_Flow!X17*92,"")</f>
        <v/>
      </c>
      <c r="U35" s="4">
        <f>IFERROR(((BS_Timeline!U18+BS_Timeline!V18)/2)/IS_Flow!Y17*92,"")</f>
        <v/>
      </c>
    </row>
    <row r="36">
      <c r="A36" s="1" t="inlineStr">
        <is>
          <t>DPO (วัน)</t>
        </is>
      </c>
      <c r="B36" s="4">
        <f>IFERROR(((BS_Timeline!B19+BS_Timeline!C19)/2)/IS_Flow!B17*90,"")</f>
        <v/>
      </c>
      <c r="C36" s="4">
        <f>IFERROR(((BS_Timeline!C19+BS_Timeline!D19)/2)/IS_Flow!C17*91,"")</f>
        <v/>
      </c>
      <c r="D36" s="4">
        <f>IFERROR(((BS_Timeline!D19+BS_Timeline!E19)/2)/IS_Flow!D17*92,"")</f>
        <v/>
      </c>
      <c r="E36" s="4">
        <f>IFERROR(((BS_Timeline!E19+BS_Timeline!F19)/2)/IS_Flow!E17*92,"")</f>
        <v/>
      </c>
      <c r="F36" s="4">
        <f>IFERROR(((BS_Timeline!F19+BS_Timeline!G19)/2)/IS_Flow!G17*90,"")</f>
        <v/>
      </c>
      <c r="G36" s="4">
        <f>IFERROR(((BS_Timeline!G19+BS_Timeline!H19)/2)/IS_Flow!H17*91,"")</f>
        <v/>
      </c>
      <c r="H36" s="4">
        <f>IFERROR(((BS_Timeline!H19+BS_Timeline!I19)/2)/IS_Flow!I17*92,"")</f>
        <v/>
      </c>
      <c r="I36" s="4">
        <f>IFERROR(((BS_Timeline!I19+BS_Timeline!J19)/2)/IS_Flow!J17*92,"")</f>
        <v/>
      </c>
      <c r="J36" s="4">
        <f>IFERROR(((BS_Timeline!J19+BS_Timeline!K19)/2)/IS_Flow!L17*90,"")</f>
        <v/>
      </c>
      <c r="K36" s="4">
        <f>IFERROR(((BS_Timeline!K19+BS_Timeline!L19)/2)/IS_Flow!M17*91,"")</f>
        <v/>
      </c>
      <c r="L36" s="4">
        <f>IFERROR(((BS_Timeline!L19+BS_Timeline!M19)/2)/IS_Flow!N17*92,"")</f>
        <v/>
      </c>
      <c r="M36" s="4">
        <f>IFERROR(((BS_Timeline!M19+BS_Timeline!N19)/2)/IS_Flow!O17*92,"")</f>
        <v/>
      </c>
      <c r="N36" s="4">
        <f>IFERROR(((BS_Timeline!N19+BS_Timeline!O19)/2)/IS_Flow!Q17*90,"")</f>
        <v/>
      </c>
      <c r="O36" s="4">
        <f>IFERROR(((BS_Timeline!O19+BS_Timeline!P19)/2)/IS_Flow!R17*91,"")</f>
        <v/>
      </c>
      <c r="P36" s="4">
        <f>IFERROR(((BS_Timeline!P19+BS_Timeline!Q19)/2)/IS_Flow!S17*92,"")</f>
        <v/>
      </c>
      <c r="Q36" s="4">
        <f>IFERROR(((BS_Timeline!Q19+BS_Timeline!R19)/2)/IS_Flow!T17*92,"")</f>
        <v/>
      </c>
      <c r="R36" s="4">
        <f>IFERROR(((BS_Timeline!R19+BS_Timeline!S19)/2)/IS_Flow!V17*90,"")</f>
        <v/>
      </c>
      <c r="S36" s="4">
        <f>IFERROR(((BS_Timeline!S19+BS_Timeline!T19)/2)/IS_Flow!W17*91,"")</f>
        <v/>
      </c>
      <c r="T36" s="4">
        <f>IFERROR(((BS_Timeline!T19+BS_Timeline!U19)/2)/IS_Flow!X17*92,"")</f>
        <v/>
      </c>
      <c r="U36" s="4">
        <f>IFERROR(((BS_Timeline!U19+BS_Timeline!V19)/2)/IS_Flow!Y17*92,"")</f>
        <v/>
      </c>
    </row>
    <row r="37">
      <c r="A37" s="1" t="inlineStr">
        <is>
          <t>CCC (วัน)</t>
        </is>
      </c>
      <c r="B37" s="4">
        <f>IFERROR(B34+B35-B36,"")</f>
        <v/>
      </c>
      <c r="C37" s="4">
        <f>IFERROR(C34+C35-C36,"")</f>
        <v/>
      </c>
      <c r="D37" s="4">
        <f>IFERROR(D34+D35-D36,"")</f>
        <v/>
      </c>
      <c r="E37" s="4">
        <f>IFERROR(E34+E35-E36,"")</f>
        <v/>
      </c>
      <c r="F37" s="4">
        <f>IFERROR(F34+F35-F36,"")</f>
        <v/>
      </c>
      <c r="G37" s="4">
        <f>IFERROR(G34+G35-G36,"")</f>
        <v/>
      </c>
      <c r="H37" s="4">
        <f>IFERROR(H34+H35-H36,"")</f>
        <v/>
      </c>
      <c r="I37" s="4">
        <f>IFERROR(I34+I35-I36,"")</f>
        <v/>
      </c>
      <c r="J37" s="4">
        <f>IFERROR(J34+J35-J36,"")</f>
        <v/>
      </c>
      <c r="K37" s="4">
        <f>IFERROR(K34+K35-K36,"")</f>
        <v/>
      </c>
      <c r="L37" s="4">
        <f>IFERROR(L34+L35-L36,"")</f>
        <v/>
      </c>
      <c r="M37" s="4">
        <f>IFERROR(M34+M35-M36,"")</f>
        <v/>
      </c>
      <c r="N37" s="4">
        <f>IFERROR(N34+N35-N36,"")</f>
        <v/>
      </c>
      <c r="O37" s="4">
        <f>IFERROR(O34+O35-O36,"")</f>
        <v/>
      </c>
      <c r="P37" s="4">
        <f>IFERROR(P34+P35-P36,"")</f>
        <v/>
      </c>
      <c r="Q37" s="4">
        <f>IFERROR(Q34+Q35-Q36,"")</f>
        <v/>
      </c>
      <c r="R37" s="4">
        <f>IFERROR(R34+R35-R36,"")</f>
        <v/>
      </c>
      <c r="S37" s="4">
        <f>IFERROR(S34+S35-S36,"")</f>
        <v/>
      </c>
      <c r="T37" s="4">
        <f>IFERROR(T34+T35-T36,"")</f>
        <v/>
      </c>
      <c r="U37" s="4">
        <f>IFERROR(U34+U35-U36,"")</f>
        <v/>
      </c>
    </row>
    <row r="38">
      <c r="A38" s="1" t="inlineStr">
        <is>
          <t>ROA รายไตรมาส (%)</t>
        </is>
      </c>
      <c r="B38" s="3">
        <f>IFERROR(IS_Flow!B18/((BS_Timeline!B20+BS_Timeline!C20)/2),"")</f>
        <v/>
      </c>
      <c r="C38" s="3">
        <f>IFERROR(IS_Flow!C18/((BS_Timeline!C20+BS_Timeline!D20)/2),"")</f>
        <v/>
      </c>
      <c r="D38" s="3">
        <f>IFERROR(IS_Flow!D18/((BS_Timeline!D20+BS_Timeline!E20)/2),"")</f>
        <v/>
      </c>
      <c r="E38" s="3">
        <f>IFERROR(IS_Flow!E18/((BS_Timeline!E20+BS_Timeline!F20)/2),"")</f>
        <v/>
      </c>
      <c r="F38" s="3">
        <f>IFERROR(IS_Flow!G18/((BS_Timeline!F20+BS_Timeline!G20)/2),"")</f>
        <v/>
      </c>
      <c r="G38" s="3">
        <f>IFERROR(IS_Flow!H18/((BS_Timeline!G20+BS_Timeline!H20)/2),"")</f>
        <v/>
      </c>
      <c r="H38" s="3">
        <f>IFERROR(IS_Flow!I18/((BS_Timeline!H20+BS_Timeline!I20)/2),"")</f>
        <v/>
      </c>
      <c r="I38" s="3">
        <f>IFERROR(IS_Flow!J18/((BS_Timeline!I20+BS_Timeline!J20)/2),"")</f>
        <v/>
      </c>
      <c r="J38" s="3">
        <f>IFERROR(IS_Flow!L18/((BS_Timeline!J20+BS_Timeline!K20)/2),"")</f>
        <v/>
      </c>
      <c r="K38" s="3">
        <f>IFERROR(IS_Flow!M18/((BS_Timeline!K20+BS_Timeline!L20)/2),"")</f>
        <v/>
      </c>
      <c r="L38" s="3">
        <f>IFERROR(IS_Flow!N18/((BS_Timeline!L20+BS_Timeline!M20)/2),"")</f>
        <v/>
      </c>
      <c r="M38" s="3">
        <f>IFERROR(IS_Flow!O18/((BS_Timeline!M20+BS_Timeline!N20)/2),"")</f>
        <v/>
      </c>
      <c r="N38" s="3">
        <f>IFERROR(IS_Flow!Q18/((BS_Timeline!N20+BS_Timeline!O20)/2),"")</f>
        <v/>
      </c>
      <c r="O38" s="3">
        <f>IFERROR(IS_Flow!R18/((BS_Timeline!O20+BS_Timeline!P20)/2),"")</f>
        <v/>
      </c>
      <c r="P38" s="3">
        <f>IFERROR(IS_Flow!S18/((BS_Timeline!P20+BS_Timeline!Q20)/2),"")</f>
        <v/>
      </c>
      <c r="Q38" s="3">
        <f>IFERROR(IS_Flow!T18/((BS_Timeline!Q20+BS_Timeline!R20)/2),"")</f>
        <v/>
      </c>
      <c r="R38" s="3">
        <f>IFERROR(IS_Flow!V18/((BS_Timeline!R20+BS_Timeline!S20)/2),"")</f>
        <v/>
      </c>
      <c r="S38" s="3">
        <f>IFERROR(IS_Flow!W18/((BS_Timeline!S20+BS_Timeline!T20)/2),"")</f>
        <v/>
      </c>
      <c r="T38" s="3">
        <f>IFERROR(IS_Flow!X18/((BS_Timeline!T20+BS_Timeline!U20)/2),"")</f>
        <v/>
      </c>
      <c r="U38" s="3">
        <f>IFERROR(IS_Flow!Y18/((BS_Timeline!U20+BS_Timeline!V20)/2),"")</f>
        <v/>
      </c>
    </row>
    <row r="39">
      <c r="A39" s="1" t="inlineStr">
        <is>
          <t>ROE รายไตรมาส (%)</t>
        </is>
      </c>
      <c r="B39" s="3">
        <f>IFERROR(IS_Flow!B18/((BS_Timeline!B21+BS_Timeline!C21)/2),"")</f>
        <v/>
      </c>
      <c r="C39" s="3">
        <f>IFERROR(IS_Flow!C18/((BS_Timeline!C21+BS_Timeline!D21)/2),"")</f>
        <v/>
      </c>
      <c r="D39" s="3">
        <f>IFERROR(IS_Flow!D18/((BS_Timeline!D21+BS_Timeline!E21)/2),"")</f>
        <v/>
      </c>
      <c r="E39" s="3">
        <f>IFERROR(IS_Flow!E18/((BS_Timeline!E21+BS_Timeline!F21)/2),"")</f>
        <v/>
      </c>
      <c r="F39" s="3">
        <f>IFERROR(IS_Flow!G18/((BS_Timeline!F21+BS_Timeline!G21)/2),"")</f>
        <v/>
      </c>
      <c r="G39" s="3">
        <f>IFERROR(IS_Flow!H18/((BS_Timeline!G21+BS_Timeline!H21)/2),"")</f>
        <v/>
      </c>
      <c r="H39" s="3">
        <f>IFERROR(IS_Flow!I18/((BS_Timeline!H21+BS_Timeline!I21)/2),"")</f>
        <v/>
      </c>
      <c r="I39" s="3">
        <f>IFERROR(IS_Flow!J18/((BS_Timeline!I21+BS_Timeline!J21)/2),"")</f>
        <v/>
      </c>
      <c r="J39" s="3">
        <f>IFERROR(IS_Flow!L18/((BS_Timeline!J21+BS_Timeline!K21)/2),"")</f>
        <v/>
      </c>
      <c r="K39" s="3">
        <f>IFERROR(IS_Flow!M18/((BS_Timeline!K21+BS_Timeline!L21)/2),"")</f>
        <v/>
      </c>
      <c r="L39" s="3">
        <f>IFERROR(IS_Flow!N18/((BS_Timeline!L21+BS_Timeline!M21)/2),"")</f>
        <v/>
      </c>
      <c r="M39" s="3">
        <f>IFERROR(IS_Flow!O18/((BS_Timeline!M21+BS_Timeline!N21)/2),"")</f>
        <v/>
      </c>
      <c r="N39" s="3">
        <f>IFERROR(IS_Flow!Q18/((BS_Timeline!N21+BS_Timeline!O21)/2),"")</f>
        <v/>
      </c>
      <c r="O39" s="3">
        <f>IFERROR(IS_Flow!R18/((BS_Timeline!O21+BS_Timeline!P21)/2),"")</f>
        <v/>
      </c>
      <c r="P39" s="3">
        <f>IFERROR(IS_Flow!S18/((BS_Timeline!P21+BS_Timeline!Q21)/2),"")</f>
        <v/>
      </c>
      <c r="Q39" s="3">
        <f>IFERROR(IS_Flow!T18/((BS_Timeline!Q21+BS_Timeline!R21)/2),"")</f>
        <v/>
      </c>
      <c r="R39" s="3">
        <f>IFERROR(IS_Flow!V18/((BS_Timeline!R21+BS_Timeline!S21)/2),"")</f>
        <v/>
      </c>
      <c r="S39" s="3">
        <f>IFERROR(IS_Flow!W18/((BS_Timeline!S21+BS_Timeline!T21)/2),"")</f>
        <v/>
      </c>
      <c r="T39" s="3">
        <f>IFERROR(IS_Flow!X18/((BS_Timeline!T21+BS_Timeline!U21)/2),"")</f>
        <v/>
      </c>
      <c r="U39" s="3">
        <f>IFERROR(IS_Flow!Y18/((BS_Timeline!U21+BS_Timeline!V21)/2),"")</f>
        <v/>
      </c>
    </row>
    <row r="40">
      <c r="A40" s="1" t="inlineStr">
        <is>
          <t>D/E (เท่า)</t>
        </is>
      </c>
      <c r="B40" s="4">
        <f>IFERROR(BS_Timeline!C22/BS_Timeline!C21,"")</f>
        <v/>
      </c>
      <c r="C40" s="4">
        <f>IFERROR(BS_Timeline!D22/BS_Timeline!D21,"")</f>
        <v/>
      </c>
      <c r="D40" s="4">
        <f>IFERROR(BS_Timeline!E22/BS_Timeline!E21,"")</f>
        <v/>
      </c>
      <c r="E40" s="4">
        <f>IFERROR(BS_Timeline!F22/BS_Timeline!F21,"")</f>
        <v/>
      </c>
      <c r="F40" s="4">
        <f>IFERROR(BS_Timeline!G22/BS_Timeline!G21,"")</f>
        <v/>
      </c>
      <c r="G40" s="4">
        <f>IFERROR(BS_Timeline!H22/BS_Timeline!H21,"")</f>
        <v/>
      </c>
      <c r="H40" s="4">
        <f>IFERROR(BS_Timeline!I22/BS_Timeline!I21,"")</f>
        <v/>
      </c>
      <c r="I40" s="4">
        <f>IFERROR(BS_Timeline!J22/BS_Timeline!J21,"")</f>
        <v/>
      </c>
      <c r="J40" s="4">
        <f>IFERROR(BS_Timeline!K22/BS_Timeline!K21,"")</f>
        <v/>
      </c>
      <c r="K40" s="4">
        <f>IFERROR(BS_Timeline!L22/BS_Timeline!L21,"")</f>
        <v/>
      </c>
      <c r="L40" s="4">
        <f>IFERROR(BS_Timeline!M22/BS_Timeline!M21,"")</f>
        <v/>
      </c>
      <c r="M40" s="4">
        <f>IFERROR(BS_Timeline!N22/BS_Timeline!N21,"")</f>
        <v/>
      </c>
      <c r="N40" s="4">
        <f>IFERROR(BS_Timeline!O22/BS_Timeline!O21,"")</f>
        <v/>
      </c>
      <c r="O40" s="4">
        <f>IFERROR(BS_Timeline!P22/BS_Timeline!P21,"")</f>
        <v/>
      </c>
      <c r="P40" s="4">
        <f>IFERROR(BS_Timeline!Q22/BS_Timeline!Q21,"")</f>
        <v/>
      </c>
      <c r="Q40" s="4">
        <f>IFERROR(BS_Timeline!R22/BS_Timeline!R21,"")</f>
        <v/>
      </c>
      <c r="R40" s="4">
        <f>IFERROR(BS_Timeline!S22/BS_Timeline!S21,"")</f>
        <v/>
      </c>
      <c r="S40" s="4">
        <f>IFERROR(BS_Timeline!T22/BS_Timeline!T21,"")</f>
        <v/>
      </c>
      <c r="T40" s="4">
        <f>IFERROR(BS_Timeline!U22/BS_Timeline!U21,"")</f>
        <v/>
      </c>
      <c r="U40" s="4">
        <f>IFERROR(BS_Timeline!V22/BS_Timeline!V21,"")</f>
        <v/>
      </c>
    </row>
    <row r="41">
      <c r="A41" s="7" t="inlineStr">
        <is>
          <t>■ ERW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1" t="inlineStr">
        <is>
          <t>รายได้รวม (ล้านบาท)</t>
        </is>
      </c>
      <c r="B42" s="4">
        <f>IS_Flow!B21</f>
        <v/>
      </c>
      <c r="C42" s="4">
        <f>IS_Flow!C21</f>
        <v/>
      </c>
      <c r="D42" s="4">
        <f>IS_Flow!D21</f>
        <v/>
      </c>
      <c r="E42" s="4">
        <f>IS_Flow!E21</f>
        <v/>
      </c>
      <c r="F42" s="4">
        <f>IS_Flow!G21</f>
        <v/>
      </c>
      <c r="G42" s="4">
        <f>IS_Flow!H21</f>
        <v/>
      </c>
      <c r="H42" s="4">
        <f>IS_Flow!I21</f>
        <v/>
      </c>
      <c r="I42" s="4">
        <f>IS_Flow!J21</f>
        <v/>
      </c>
      <c r="J42" s="4">
        <f>IS_Flow!L21</f>
        <v/>
      </c>
      <c r="K42" s="4">
        <f>IS_Flow!M21</f>
        <v/>
      </c>
      <c r="L42" s="4">
        <f>IS_Flow!N21</f>
        <v/>
      </c>
      <c r="M42" s="4">
        <f>IS_Flow!O21</f>
        <v/>
      </c>
      <c r="N42" s="4">
        <f>IS_Flow!Q21</f>
        <v/>
      </c>
      <c r="O42" s="4">
        <f>IS_Flow!R21</f>
        <v/>
      </c>
      <c r="P42" s="4">
        <f>IS_Flow!S21</f>
        <v/>
      </c>
      <c r="Q42" s="4">
        <f>IS_Flow!T21</f>
        <v/>
      </c>
      <c r="R42" s="4">
        <f>IS_Flow!V21</f>
        <v/>
      </c>
      <c r="S42" s="4">
        <f>IS_Flow!W21</f>
        <v/>
      </c>
      <c r="T42" s="4">
        <f>IS_Flow!X21</f>
        <v/>
      </c>
      <c r="U42" s="4">
        <f>IS_Flow!Y21</f>
        <v/>
      </c>
    </row>
    <row r="43">
      <c r="A43" s="1" t="inlineStr">
        <is>
          <t>ต้นทุนขาย (ล้านบาท)</t>
        </is>
      </c>
      <c r="B43" s="4">
        <f>IS_Flow!B23</f>
        <v/>
      </c>
      <c r="C43" s="4">
        <f>IS_Flow!C23</f>
        <v/>
      </c>
      <c r="D43" s="4">
        <f>IS_Flow!D23</f>
        <v/>
      </c>
      <c r="E43" s="4">
        <f>IS_Flow!E23</f>
        <v/>
      </c>
      <c r="F43" s="4">
        <f>IS_Flow!G23</f>
        <v/>
      </c>
      <c r="G43" s="4">
        <f>IS_Flow!H23</f>
        <v/>
      </c>
      <c r="H43" s="4">
        <f>IS_Flow!I23</f>
        <v/>
      </c>
      <c r="I43" s="4">
        <f>IS_Flow!J23</f>
        <v/>
      </c>
      <c r="J43" s="4">
        <f>IS_Flow!L23</f>
        <v/>
      </c>
      <c r="K43" s="4">
        <f>IS_Flow!M23</f>
        <v/>
      </c>
      <c r="L43" s="4">
        <f>IS_Flow!N23</f>
        <v/>
      </c>
      <c r="M43" s="4">
        <f>IS_Flow!O23</f>
        <v/>
      </c>
      <c r="N43" s="4">
        <f>IS_Flow!Q23</f>
        <v/>
      </c>
      <c r="O43" s="4">
        <f>IS_Flow!R23</f>
        <v/>
      </c>
      <c r="P43" s="4">
        <f>IS_Flow!S23</f>
        <v/>
      </c>
      <c r="Q43" s="4">
        <f>IS_Flow!T23</f>
        <v/>
      </c>
      <c r="R43" s="4">
        <f>IS_Flow!V23</f>
        <v/>
      </c>
      <c r="S43" s="4">
        <f>IS_Flow!W23</f>
        <v/>
      </c>
      <c r="T43" s="4">
        <f>IS_Flow!X23</f>
        <v/>
      </c>
      <c r="U43" s="4">
        <f>IS_Flow!Y23</f>
        <v/>
      </c>
    </row>
    <row r="44">
      <c r="A44" s="1" t="inlineStr">
        <is>
          <t>กำไรสุทธิ (ล้านบาท)</t>
        </is>
      </c>
      <c r="B44" s="4">
        <f>IS_Flow!B24</f>
        <v/>
      </c>
      <c r="C44" s="4">
        <f>IS_Flow!C24</f>
        <v/>
      </c>
      <c r="D44" s="4">
        <f>IS_Flow!D24</f>
        <v/>
      </c>
      <c r="E44" s="4">
        <f>IS_Flow!E24</f>
        <v/>
      </c>
      <c r="F44" s="4">
        <f>IS_Flow!G24</f>
        <v/>
      </c>
      <c r="G44" s="4">
        <f>IS_Flow!H24</f>
        <v/>
      </c>
      <c r="H44" s="4">
        <f>IS_Flow!I24</f>
        <v/>
      </c>
      <c r="I44" s="4">
        <f>IS_Flow!J24</f>
        <v/>
      </c>
      <c r="J44" s="4">
        <f>IS_Flow!L24</f>
        <v/>
      </c>
      <c r="K44" s="4">
        <f>IS_Flow!M24</f>
        <v/>
      </c>
      <c r="L44" s="4">
        <f>IS_Flow!N24</f>
        <v/>
      </c>
      <c r="M44" s="4">
        <f>IS_Flow!O24</f>
        <v/>
      </c>
      <c r="N44" s="4">
        <f>IS_Flow!Q24</f>
        <v/>
      </c>
      <c r="O44" s="4">
        <f>IS_Flow!R24</f>
        <v/>
      </c>
      <c r="P44" s="4">
        <f>IS_Flow!S24</f>
        <v/>
      </c>
      <c r="Q44" s="4">
        <f>IS_Flow!T24</f>
        <v/>
      </c>
      <c r="R44" s="4">
        <f>IS_Flow!V24</f>
        <v/>
      </c>
      <c r="S44" s="4">
        <f>IS_Flow!W24</f>
        <v/>
      </c>
      <c r="T44" s="4">
        <f>IS_Flow!X24</f>
        <v/>
      </c>
      <c r="U44" s="4">
        <f>IS_Flow!Y24</f>
        <v/>
      </c>
    </row>
    <row r="45">
      <c r="A45" s="1" t="inlineStr">
        <is>
          <t>NPM (%)</t>
        </is>
      </c>
      <c r="B45" s="3">
        <f>IFERROR(IS_Flow!B24/IS_Flow!B21,"")</f>
        <v/>
      </c>
      <c r="C45" s="3">
        <f>IFERROR(IS_Flow!C24/IS_Flow!C21,"")</f>
        <v/>
      </c>
      <c r="D45" s="3">
        <f>IFERROR(IS_Flow!D24/IS_Flow!D21,"")</f>
        <v/>
      </c>
      <c r="E45" s="3">
        <f>IFERROR(IS_Flow!E24/IS_Flow!E21,"")</f>
        <v/>
      </c>
      <c r="F45" s="3">
        <f>IFERROR(IS_Flow!G24/IS_Flow!G21,"")</f>
        <v/>
      </c>
      <c r="G45" s="3">
        <f>IFERROR(IS_Flow!H24/IS_Flow!H21,"")</f>
        <v/>
      </c>
      <c r="H45" s="3">
        <f>IFERROR(IS_Flow!I24/IS_Flow!I21,"")</f>
        <v/>
      </c>
      <c r="I45" s="3">
        <f>IFERROR(IS_Flow!J24/IS_Flow!J21,"")</f>
        <v/>
      </c>
      <c r="J45" s="3">
        <f>IFERROR(IS_Flow!L24/IS_Flow!L21,"")</f>
        <v/>
      </c>
      <c r="K45" s="3">
        <f>IFERROR(IS_Flow!M24/IS_Flow!M21,"")</f>
        <v/>
      </c>
      <c r="L45" s="3">
        <f>IFERROR(IS_Flow!N24/IS_Flow!N21,"")</f>
        <v/>
      </c>
      <c r="M45" s="3">
        <f>IFERROR(IS_Flow!O24/IS_Flow!O21,"")</f>
        <v/>
      </c>
      <c r="N45" s="3">
        <f>IFERROR(IS_Flow!Q24/IS_Flow!Q21,"")</f>
        <v/>
      </c>
      <c r="O45" s="3">
        <f>IFERROR(IS_Flow!R24/IS_Flow!R21,"")</f>
        <v/>
      </c>
      <c r="P45" s="3">
        <f>IFERROR(IS_Flow!S24/IS_Flow!S21,"")</f>
        <v/>
      </c>
      <c r="Q45" s="3">
        <f>IFERROR(IS_Flow!T24/IS_Flow!T21,"")</f>
        <v/>
      </c>
      <c r="R45" s="3">
        <f>IFERROR(IS_Flow!V24/IS_Flow!V21,"")</f>
        <v/>
      </c>
      <c r="S45" s="3">
        <f>IFERROR(IS_Flow!W24/IS_Flow!W21,"")</f>
        <v/>
      </c>
      <c r="T45" s="3">
        <f>IFERROR(IS_Flow!X24/IS_Flow!X21,"")</f>
        <v/>
      </c>
      <c r="U45" s="3">
        <f>IFERROR(IS_Flow!Y24/IS_Flow!Y21,"")</f>
        <v/>
      </c>
    </row>
    <row r="46">
      <c r="A46" s="1" t="inlineStr">
        <is>
          <t>Gross Margin (%)</t>
        </is>
      </c>
      <c r="B46" s="3">
        <f>IFERROR((IS_Flow!B21-IS_Flow!B22-IS_Flow!B23)/(IS_Flow!B21-IS_Flow!B22),"")</f>
        <v/>
      </c>
      <c r="C46" s="3">
        <f>IFERROR((IS_Flow!C21-IS_Flow!C22-IS_Flow!C23)/(IS_Flow!C21-IS_Flow!C22),"")</f>
        <v/>
      </c>
      <c r="D46" s="3">
        <f>IFERROR((IS_Flow!D21-IS_Flow!D22-IS_Flow!D23)/(IS_Flow!D21-IS_Flow!D22),"")</f>
        <v/>
      </c>
      <c r="E46" s="3">
        <f>IFERROR((IS_Flow!E21-IS_Flow!E22-IS_Flow!E23)/(IS_Flow!E21-IS_Flow!E22),"")</f>
        <v/>
      </c>
      <c r="F46" s="3">
        <f>IFERROR((IS_Flow!G21-IS_Flow!G22-IS_Flow!G23)/(IS_Flow!G21-IS_Flow!G22),"")</f>
        <v/>
      </c>
      <c r="G46" s="3">
        <f>IFERROR((IS_Flow!H21-IS_Flow!H22-IS_Flow!H23)/(IS_Flow!H21-IS_Flow!H22),"")</f>
        <v/>
      </c>
      <c r="H46" s="3">
        <f>IFERROR((IS_Flow!I21-IS_Flow!I22-IS_Flow!I23)/(IS_Flow!I21-IS_Flow!I22),"")</f>
        <v/>
      </c>
      <c r="I46" s="3">
        <f>IFERROR((IS_Flow!J21-IS_Flow!J22-IS_Flow!J23)/(IS_Flow!J21-IS_Flow!J22),"")</f>
        <v/>
      </c>
      <c r="J46" s="3">
        <f>IFERROR((IS_Flow!L21-IS_Flow!L22-IS_Flow!L23)/(IS_Flow!L21-IS_Flow!L22),"")</f>
        <v/>
      </c>
      <c r="K46" s="3">
        <f>IFERROR((IS_Flow!M21-IS_Flow!M22-IS_Flow!M23)/(IS_Flow!M21-IS_Flow!M22),"")</f>
        <v/>
      </c>
      <c r="L46" s="3">
        <f>IFERROR((IS_Flow!N21-IS_Flow!N22-IS_Flow!N23)/(IS_Flow!N21-IS_Flow!N22),"")</f>
        <v/>
      </c>
      <c r="M46" s="3">
        <f>IFERROR((IS_Flow!O21-IS_Flow!O22-IS_Flow!O23)/(IS_Flow!O21-IS_Flow!O22),"")</f>
        <v/>
      </c>
      <c r="N46" s="3">
        <f>IFERROR((IS_Flow!Q21-IS_Flow!Q22-IS_Flow!Q23)/(IS_Flow!Q21-IS_Flow!Q22),"")</f>
        <v/>
      </c>
      <c r="O46" s="3">
        <f>IFERROR((IS_Flow!R21-IS_Flow!R22-IS_Flow!R23)/(IS_Flow!R21-IS_Flow!R22),"")</f>
        <v/>
      </c>
      <c r="P46" s="3">
        <f>IFERROR((IS_Flow!S21-IS_Flow!S22-IS_Flow!S23)/(IS_Flow!S21-IS_Flow!S22),"")</f>
        <v/>
      </c>
      <c r="Q46" s="3">
        <f>IFERROR((IS_Flow!T21-IS_Flow!T22-IS_Flow!T23)/(IS_Flow!T21-IS_Flow!T22),"")</f>
        <v/>
      </c>
      <c r="R46" s="3">
        <f>IFERROR((IS_Flow!V21-IS_Flow!V22-IS_Flow!V23)/(IS_Flow!V21-IS_Flow!V22),"")</f>
        <v/>
      </c>
      <c r="S46" s="3">
        <f>IFERROR((IS_Flow!W21-IS_Flow!W22-IS_Flow!W23)/(IS_Flow!W21-IS_Flow!W22),"")</f>
        <v/>
      </c>
      <c r="T46" s="3">
        <f>IFERROR((IS_Flow!X21-IS_Flow!X22-IS_Flow!X23)/(IS_Flow!X21-IS_Flow!X22),"")</f>
        <v/>
      </c>
      <c r="U46" s="3">
        <f>IFERROR((IS_Flow!Y21-IS_Flow!Y22-IS_Flow!Y23)/(IS_Flow!Y21-IS_Flow!Y22),"")</f>
        <v/>
      </c>
    </row>
    <row r="47">
      <c r="A47" s="1" t="inlineStr">
        <is>
          <t>DSO (วัน)</t>
        </is>
      </c>
      <c r="B47" s="4">
        <f>IFERROR(((BS_Timeline!B24+BS_Timeline!C24)/2)/IS_Flow!B21*90,"")</f>
        <v/>
      </c>
      <c r="C47" s="4">
        <f>IFERROR(((BS_Timeline!C24+BS_Timeline!D24)/2)/IS_Flow!C21*91,"")</f>
        <v/>
      </c>
      <c r="D47" s="4">
        <f>IFERROR(((BS_Timeline!D24+BS_Timeline!E24)/2)/IS_Flow!D21*92,"")</f>
        <v/>
      </c>
      <c r="E47" s="4">
        <f>IFERROR(((BS_Timeline!E24+BS_Timeline!F24)/2)/IS_Flow!E21*92,"")</f>
        <v/>
      </c>
      <c r="F47" s="4">
        <f>IFERROR(((BS_Timeline!F24+BS_Timeline!G24)/2)/IS_Flow!G21*90,"")</f>
        <v/>
      </c>
      <c r="G47" s="4">
        <f>IFERROR(((BS_Timeline!G24+BS_Timeline!H24)/2)/IS_Flow!H21*91,"")</f>
        <v/>
      </c>
      <c r="H47" s="4">
        <f>IFERROR(((BS_Timeline!H24+BS_Timeline!I24)/2)/IS_Flow!I21*92,"")</f>
        <v/>
      </c>
      <c r="I47" s="4">
        <f>IFERROR(((BS_Timeline!I24+BS_Timeline!J24)/2)/IS_Flow!J21*92,"")</f>
        <v/>
      </c>
      <c r="J47" s="4">
        <f>IFERROR(((BS_Timeline!J24+BS_Timeline!K24)/2)/IS_Flow!L21*90,"")</f>
        <v/>
      </c>
      <c r="K47" s="4">
        <f>IFERROR(((BS_Timeline!K24+BS_Timeline!L24)/2)/IS_Flow!M21*91,"")</f>
        <v/>
      </c>
      <c r="L47" s="4">
        <f>IFERROR(((BS_Timeline!L24+BS_Timeline!M24)/2)/IS_Flow!N21*92,"")</f>
        <v/>
      </c>
      <c r="M47" s="4">
        <f>IFERROR(((BS_Timeline!M24+BS_Timeline!N24)/2)/IS_Flow!O21*92,"")</f>
        <v/>
      </c>
      <c r="N47" s="4">
        <f>IFERROR(((BS_Timeline!N24+BS_Timeline!O24)/2)/IS_Flow!Q21*90,"")</f>
        <v/>
      </c>
      <c r="O47" s="4">
        <f>IFERROR(((BS_Timeline!O24+BS_Timeline!P24)/2)/IS_Flow!R21*91,"")</f>
        <v/>
      </c>
      <c r="P47" s="4">
        <f>IFERROR(((BS_Timeline!P24+BS_Timeline!Q24)/2)/IS_Flow!S21*92,"")</f>
        <v/>
      </c>
      <c r="Q47" s="4">
        <f>IFERROR(((BS_Timeline!Q24+BS_Timeline!R24)/2)/IS_Flow!T21*92,"")</f>
        <v/>
      </c>
      <c r="R47" s="4">
        <f>IFERROR(((BS_Timeline!R24+BS_Timeline!S24)/2)/IS_Flow!V21*90,"")</f>
        <v/>
      </c>
      <c r="S47" s="4">
        <f>IFERROR(((BS_Timeline!S24+BS_Timeline!T24)/2)/IS_Flow!W21*91,"")</f>
        <v/>
      </c>
      <c r="T47" s="4">
        <f>IFERROR(((BS_Timeline!T24+BS_Timeline!U24)/2)/IS_Flow!X21*92,"")</f>
        <v/>
      </c>
      <c r="U47" s="4">
        <f>IFERROR(((BS_Timeline!U24+BS_Timeline!V24)/2)/IS_Flow!Y21*92,"")</f>
        <v/>
      </c>
    </row>
    <row r="48">
      <c r="A48" s="1" t="inlineStr">
        <is>
          <t>DIO (วัน)</t>
        </is>
      </c>
      <c r="B48" s="4">
        <f>IFERROR(((BS_Timeline!B25+BS_Timeline!C25)/2)/IS_Flow!B23*90,"")</f>
        <v/>
      </c>
      <c r="C48" s="4">
        <f>IFERROR(((BS_Timeline!C25+BS_Timeline!D25)/2)/IS_Flow!C23*91,"")</f>
        <v/>
      </c>
      <c r="D48" s="4">
        <f>IFERROR(((BS_Timeline!D25+BS_Timeline!E25)/2)/IS_Flow!D23*92,"")</f>
        <v/>
      </c>
      <c r="E48" s="4">
        <f>IFERROR(((BS_Timeline!E25+BS_Timeline!F25)/2)/IS_Flow!E23*92,"")</f>
        <v/>
      </c>
      <c r="F48" s="4">
        <f>IFERROR(((BS_Timeline!F25+BS_Timeline!G25)/2)/IS_Flow!G23*90,"")</f>
        <v/>
      </c>
      <c r="G48" s="4">
        <f>IFERROR(((BS_Timeline!G25+BS_Timeline!H25)/2)/IS_Flow!H23*91,"")</f>
        <v/>
      </c>
      <c r="H48" s="4">
        <f>IFERROR(((BS_Timeline!H25+BS_Timeline!I25)/2)/IS_Flow!I23*92,"")</f>
        <v/>
      </c>
      <c r="I48" s="4">
        <f>IFERROR(((BS_Timeline!I25+BS_Timeline!J25)/2)/IS_Flow!J23*92,"")</f>
        <v/>
      </c>
      <c r="J48" s="4">
        <f>IFERROR(((BS_Timeline!J25+BS_Timeline!K25)/2)/IS_Flow!L23*90,"")</f>
        <v/>
      </c>
      <c r="K48" s="4">
        <f>IFERROR(((BS_Timeline!K25+BS_Timeline!L25)/2)/IS_Flow!M23*91,"")</f>
        <v/>
      </c>
      <c r="L48" s="4">
        <f>IFERROR(((BS_Timeline!L25+BS_Timeline!M25)/2)/IS_Flow!N23*92,"")</f>
        <v/>
      </c>
      <c r="M48" s="4">
        <f>IFERROR(((BS_Timeline!M25+BS_Timeline!N25)/2)/IS_Flow!O23*92,"")</f>
        <v/>
      </c>
      <c r="N48" s="4">
        <f>IFERROR(((BS_Timeline!N25+BS_Timeline!O25)/2)/IS_Flow!Q23*90,"")</f>
        <v/>
      </c>
      <c r="O48" s="4">
        <f>IFERROR(((BS_Timeline!O25+BS_Timeline!P25)/2)/IS_Flow!R23*91,"")</f>
        <v/>
      </c>
      <c r="P48" s="4">
        <f>IFERROR(((BS_Timeline!P25+BS_Timeline!Q25)/2)/IS_Flow!S23*92,"")</f>
        <v/>
      </c>
      <c r="Q48" s="4">
        <f>IFERROR(((BS_Timeline!Q25+BS_Timeline!R25)/2)/IS_Flow!T23*92,"")</f>
        <v/>
      </c>
      <c r="R48" s="4">
        <f>IFERROR(((BS_Timeline!R25+BS_Timeline!S25)/2)/IS_Flow!V23*90,"")</f>
        <v/>
      </c>
      <c r="S48" s="4">
        <f>IFERROR(((BS_Timeline!S25+BS_Timeline!T25)/2)/IS_Flow!W23*91,"")</f>
        <v/>
      </c>
      <c r="T48" s="4">
        <f>IFERROR(((BS_Timeline!T25+BS_Timeline!U25)/2)/IS_Flow!X23*92,"")</f>
        <v/>
      </c>
      <c r="U48" s="4">
        <f>IFERROR(((BS_Timeline!U25+BS_Timeline!V25)/2)/IS_Flow!Y23*92,"")</f>
        <v/>
      </c>
    </row>
    <row r="49">
      <c r="A49" s="1" t="inlineStr">
        <is>
          <t>DPO (วัน)</t>
        </is>
      </c>
      <c r="B49" s="4">
        <f>IFERROR(((BS_Timeline!B26+BS_Timeline!C26)/2)/IS_Flow!B23*90,"")</f>
        <v/>
      </c>
      <c r="C49" s="4">
        <f>IFERROR(((BS_Timeline!C26+BS_Timeline!D26)/2)/IS_Flow!C23*91,"")</f>
        <v/>
      </c>
      <c r="D49" s="4">
        <f>IFERROR(((BS_Timeline!D26+BS_Timeline!E26)/2)/IS_Flow!D23*92,"")</f>
        <v/>
      </c>
      <c r="E49" s="4">
        <f>IFERROR(((BS_Timeline!E26+BS_Timeline!F26)/2)/IS_Flow!E23*92,"")</f>
        <v/>
      </c>
      <c r="F49" s="4">
        <f>IFERROR(((BS_Timeline!F26+BS_Timeline!G26)/2)/IS_Flow!G23*90,"")</f>
        <v/>
      </c>
      <c r="G49" s="4">
        <f>IFERROR(((BS_Timeline!G26+BS_Timeline!H26)/2)/IS_Flow!H23*91,"")</f>
        <v/>
      </c>
      <c r="H49" s="4">
        <f>IFERROR(((BS_Timeline!H26+BS_Timeline!I26)/2)/IS_Flow!I23*92,"")</f>
        <v/>
      </c>
      <c r="I49" s="4">
        <f>IFERROR(((BS_Timeline!I26+BS_Timeline!J26)/2)/IS_Flow!J23*92,"")</f>
        <v/>
      </c>
      <c r="J49" s="4">
        <f>IFERROR(((BS_Timeline!J26+BS_Timeline!K26)/2)/IS_Flow!L23*90,"")</f>
        <v/>
      </c>
      <c r="K49" s="4">
        <f>IFERROR(((BS_Timeline!K26+BS_Timeline!L26)/2)/IS_Flow!M23*91,"")</f>
        <v/>
      </c>
      <c r="L49" s="4">
        <f>IFERROR(((BS_Timeline!L26+BS_Timeline!M26)/2)/IS_Flow!N23*92,"")</f>
        <v/>
      </c>
      <c r="M49" s="4">
        <f>IFERROR(((BS_Timeline!M26+BS_Timeline!N26)/2)/IS_Flow!O23*92,"")</f>
        <v/>
      </c>
      <c r="N49" s="4">
        <f>IFERROR(((BS_Timeline!N26+BS_Timeline!O26)/2)/IS_Flow!Q23*90,"")</f>
        <v/>
      </c>
      <c r="O49" s="4">
        <f>IFERROR(((BS_Timeline!O26+BS_Timeline!P26)/2)/IS_Flow!R23*91,"")</f>
        <v/>
      </c>
      <c r="P49" s="4">
        <f>IFERROR(((BS_Timeline!P26+BS_Timeline!Q26)/2)/IS_Flow!S23*92,"")</f>
        <v/>
      </c>
      <c r="Q49" s="4">
        <f>IFERROR(((BS_Timeline!Q26+BS_Timeline!R26)/2)/IS_Flow!T23*92,"")</f>
        <v/>
      </c>
      <c r="R49" s="4">
        <f>IFERROR(((BS_Timeline!R26+BS_Timeline!S26)/2)/IS_Flow!V23*90,"")</f>
        <v/>
      </c>
      <c r="S49" s="4">
        <f>IFERROR(((BS_Timeline!S26+BS_Timeline!T26)/2)/IS_Flow!W23*91,"")</f>
        <v/>
      </c>
      <c r="T49" s="4">
        <f>IFERROR(((BS_Timeline!T26+BS_Timeline!U26)/2)/IS_Flow!X23*92,"")</f>
        <v/>
      </c>
      <c r="U49" s="4">
        <f>IFERROR(((BS_Timeline!U26+BS_Timeline!V26)/2)/IS_Flow!Y23*92,"")</f>
        <v/>
      </c>
    </row>
    <row r="50">
      <c r="A50" s="1" t="inlineStr">
        <is>
          <t>CCC (วัน)</t>
        </is>
      </c>
      <c r="B50" s="4">
        <f>IFERROR(B47+B48-B49,"")</f>
        <v/>
      </c>
      <c r="C50" s="4">
        <f>IFERROR(C47+C48-C49,"")</f>
        <v/>
      </c>
      <c r="D50" s="4">
        <f>IFERROR(D47+D48-D49,"")</f>
        <v/>
      </c>
      <c r="E50" s="4">
        <f>IFERROR(E47+E48-E49,"")</f>
        <v/>
      </c>
      <c r="F50" s="4">
        <f>IFERROR(F47+F48-F49,"")</f>
        <v/>
      </c>
      <c r="G50" s="4">
        <f>IFERROR(G47+G48-G49,"")</f>
        <v/>
      </c>
      <c r="H50" s="4">
        <f>IFERROR(H47+H48-H49,"")</f>
        <v/>
      </c>
      <c r="I50" s="4">
        <f>IFERROR(I47+I48-I49,"")</f>
        <v/>
      </c>
      <c r="J50" s="4">
        <f>IFERROR(J47+J48-J49,"")</f>
        <v/>
      </c>
      <c r="K50" s="4">
        <f>IFERROR(K47+K48-K49,"")</f>
        <v/>
      </c>
      <c r="L50" s="4">
        <f>IFERROR(L47+L48-L49,"")</f>
        <v/>
      </c>
      <c r="M50" s="4">
        <f>IFERROR(M47+M48-M49,"")</f>
        <v/>
      </c>
      <c r="N50" s="4">
        <f>IFERROR(N47+N48-N49,"")</f>
        <v/>
      </c>
      <c r="O50" s="4">
        <f>IFERROR(O47+O48-O49,"")</f>
        <v/>
      </c>
      <c r="P50" s="4">
        <f>IFERROR(P47+P48-P49,"")</f>
        <v/>
      </c>
      <c r="Q50" s="4">
        <f>IFERROR(Q47+Q48-Q49,"")</f>
        <v/>
      </c>
      <c r="R50" s="4">
        <f>IFERROR(R47+R48-R49,"")</f>
        <v/>
      </c>
      <c r="S50" s="4">
        <f>IFERROR(S47+S48-S49,"")</f>
        <v/>
      </c>
      <c r="T50" s="4">
        <f>IFERROR(T47+T48-T49,"")</f>
        <v/>
      </c>
      <c r="U50" s="4">
        <f>IFERROR(U47+U48-U49,"")</f>
        <v/>
      </c>
    </row>
    <row r="51">
      <c r="A51" s="1" t="inlineStr">
        <is>
          <t>ROA รายไตรมาส (%)</t>
        </is>
      </c>
      <c r="B51" s="3">
        <f>IFERROR(IS_Flow!B24/((BS_Timeline!B27+BS_Timeline!C27)/2),"")</f>
        <v/>
      </c>
      <c r="C51" s="3">
        <f>IFERROR(IS_Flow!C24/((BS_Timeline!C27+BS_Timeline!D27)/2),"")</f>
        <v/>
      </c>
      <c r="D51" s="3">
        <f>IFERROR(IS_Flow!D24/((BS_Timeline!D27+BS_Timeline!E27)/2),"")</f>
        <v/>
      </c>
      <c r="E51" s="3">
        <f>IFERROR(IS_Flow!E24/((BS_Timeline!E27+BS_Timeline!F27)/2),"")</f>
        <v/>
      </c>
      <c r="F51" s="3">
        <f>IFERROR(IS_Flow!G24/((BS_Timeline!F27+BS_Timeline!G27)/2),"")</f>
        <v/>
      </c>
      <c r="G51" s="3">
        <f>IFERROR(IS_Flow!H24/((BS_Timeline!G27+BS_Timeline!H27)/2),"")</f>
        <v/>
      </c>
      <c r="H51" s="3">
        <f>IFERROR(IS_Flow!I24/((BS_Timeline!H27+BS_Timeline!I27)/2),"")</f>
        <v/>
      </c>
      <c r="I51" s="3">
        <f>IFERROR(IS_Flow!J24/((BS_Timeline!I27+BS_Timeline!J27)/2),"")</f>
        <v/>
      </c>
      <c r="J51" s="3">
        <f>IFERROR(IS_Flow!L24/((BS_Timeline!J27+BS_Timeline!K27)/2),"")</f>
        <v/>
      </c>
      <c r="K51" s="3">
        <f>IFERROR(IS_Flow!M24/((BS_Timeline!K27+BS_Timeline!L27)/2),"")</f>
        <v/>
      </c>
      <c r="L51" s="3">
        <f>IFERROR(IS_Flow!N24/((BS_Timeline!L27+BS_Timeline!M27)/2),"")</f>
        <v/>
      </c>
      <c r="M51" s="3">
        <f>IFERROR(IS_Flow!O24/((BS_Timeline!M27+BS_Timeline!N27)/2),"")</f>
        <v/>
      </c>
      <c r="N51" s="3">
        <f>IFERROR(IS_Flow!Q24/((BS_Timeline!N27+BS_Timeline!O27)/2),"")</f>
        <v/>
      </c>
      <c r="O51" s="3">
        <f>IFERROR(IS_Flow!R24/((BS_Timeline!O27+BS_Timeline!P27)/2),"")</f>
        <v/>
      </c>
      <c r="P51" s="3">
        <f>IFERROR(IS_Flow!S24/((BS_Timeline!P27+BS_Timeline!Q27)/2),"")</f>
        <v/>
      </c>
      <c r="Q51" s="3">
        <f>IFERROR(IS_Flow!T24/((BS_Timeline!Q27+BS_Timeline!R27)/2),"")</f>
        <v/>
      </c>
      <c r="R51" s="3">
        <f>IFERROR(IS_Flow!V24/((BS_Timeline!R27+BS_Timeline!S27)/2),"")</f>
        <v/>
      </c>
      <c r="S51" s="3">
        <f>IFERROR(IS_Flow!W24/((BS_Timeline!S27+BS_Timeline!T27)/2),"")</f>
        <v/>
      </c>
      <c r="T51" s="3">
        <f>IFERROR(IS_Flow!X24/((BS_Timeline!T27+BS_Timeline!U27)/2),"")</f>
        <v/>
      </c>
      <c r="U51" s="3">
        <f>IFERROR(IS_Flow!Y24/((BS_Timeline!U27+BS_Timeline!V27)/2),"")</f>
        <v/>
      </c>
    </row>
    <row r="52">
      <c r="A52" s="1" t="inlineStr">
        <is>
          <t>ROE รายไตรมาส (%)</t>
        </is>
      </c>
      <c r="B52" s="3">
        <f>IFERROR(IS_Flow!B24/((BS_Timeline!B28+BS_Timeline!C28)/2),"")</f>
        <v/>
      </c>
      <c r="C52" s="3">
        <f>IFERROR(IS_Flow!C24/((BS_Timeline!C28+BS_Timeline!D28)/2),"")</f>
        <v/>
      </c>
      <c r="D52" s="3">
        <f>IFERROR(IS_Flow!D24/((BS_Timeline!D28+BS_Timeline!E28)/2),"")</f>
        <v/>
      </c>
      <c r="E52" s="3">
        <f>IFERROR(IS_Flow!E24/((BS_Timeline!E28+BS_Timeline!F28)/2),"")</f>
        <v/>
      </c>
      <c r="F52" s="3">
        <f>IFERROR(IS_Flow!G24/((BS_Timeline!F28+BS_Timeline!G28)/2),"")</f>
        <v/>
      </c>
      <c r="G52" s="3">
        <f>IFERROR(IS_Flow!H24/((BS_Timeline!G28+BS_Timeline!H28)/2),"")</f>
        <v/>
      </c>
      <c r="H52" s="3">
        <f>IFERROR(IS_Flow!I24/((BS_Timeline!H28+BS_Timeline!I28)/2),"")</f>
        <v/>
      </c>
      <c r="I52" s="3">
        <f>IFERROR(IS_Flow!J24/((BS_Timeline!I28+BS_Timeline!J28)/2),"")</f>
        <v/>
      </c>
      <c r="J52" s="3">
        <f>IFERROR(IS_Flow!L24/((BS_Timeline!J28+BS_Timeline!K28)/2),"")</f>
        <v/>
      </c>
      <c r="K52" s="3">
        <f>IFERROR(IS_Flow!M24/((BS_Timeline!K28+BS_Timeline!L28)/2),"")</f>
        <v/>
      </c>
      <c r="L52" s="3">
        <f>IFERROR(IS_Flow!N24/((BS_Timeline!L28+BS_Timeline!M28)/2),"")</f>
        <v/>
      </c>
      <c r="M52" s="3">
        <f>IFERROR(IS_Flow!O24/((BS_Timeline!M28+BS_Timeline!N28)/2),"")</f>
        <v/>
      </c>
      <c r="N52" s="3">
        <f>IFERROR(IS_Flow!Q24/((BS_Timeline!N28+BS_Timeline!O28)/2),"")</f>
        <v/>
      </c>
      <c r="O52" s="3">
        <f>IFERROR(IS_Flow!R24/((BS_Timeline!O28+BS_Timeline!P28)/2),"")</f>
        <v/>
      </c>
      <c r="P52" s="3">
        <f>IFERROR(IS_Flow!S24/((BS_Timeline!P28+BS_Timeline!Q28)/2),"")</f>
        <v/>
      </c>
      <c r="Q52" s="3">
        <f>IFERROR(IS_Flow!T24/((BS_Timeline!Q28+BS_Timeline!R28)/2),"")</f>
        <v/>
      </c>
      <c r="R52" s="3">
        <f>IFERROR(IS_Flow!V24/((BS_Timeline!R28+BS_Timeline!S28)/2),"")</f>
        <v/>
      </c>
      <c r="S52" s="3">
        <f>IFERROR(IS_Flow!W24/((BS_Timeline!S28+BS_Timeline!T28)/2),"")</f>
        <v/>
      </c>
      <c r="T52" s="3">
        <f>IFERROR(IS_Flow!X24/((BS_Timeline!T28+BS_Timeline!U28)/2),"")</f>
        <v/>
      </c>
      <c r="U52" s="3">
        <f>IFERROR(IS_Flow!Y24/((BS_Timeline!U28+BS_Timeline!V28)/2),"")</f>
        <v/>
      </c>
    </row>
    <row r="53">
      <c r="A53" s="1" t="inlineStr">
        <is>
          <t>D/E (เท่า)</t>
        </is>
      </c>
      <c r="B53" s="4">
        <f>IFERROR(BS_Timeline!C29/BS_Timeline!C28,"")</f>
        <v/>
      </c>
      <c r="C53" s="4">
        <f>IFERROR(BS_Timeline!D29/BS_Timeline!D28,"")</f>
        <v/>
      </c>
      <c r="D53" s="4">
        <f>IFERROR(BS_Timeline!E29/BS_Timeline!E28,"")</f>
        <v/>
      </c>
      <c r="E53" s="4">
        <f>IFERROR(BS_Timeline!F29/BS_Timeline!F28,"")</f>
        <v/>
      </c>
      <c r="F53" s="4">
        <f>IFERROR(BS_Timeline!G29/BS_Timeline!G28,"")</f>
        <v/>
      </c>
      <c r="G53" s="4">
        <f>IFERROR(BS_Timeline!H29/BS_Timeline!H28,"")</f>
        <v/>
      </c>
      <c r="H53" s="4">
        <f>IFERROR(BS_Timeline!I29/BS_Timeline!I28,"")</f>
        <v/>
      </c>
      <c r="I53" s="4">
        <f>IFERROR(BS_Timeline!J29/BS_Timeline!J28,"")</f>
        <v/>
      </c>
      <c r="J53" s="4">
        <f>IFERROR(BS_Timeline!K29/BS_Timeline!K28,"")</f>
        <v/>
      </c>
      <c r="K53" s="4">
        <f>IFERROR(BS_Timeline!L29/BS_Timeline!L28,"")</f>
        <v/>
      </c>
      <c r="L53" s="4">
        <f>IFERROR(BS_Timeline!M29/BS_Timeline!M28,"")</f>
        <v/>
      </c>
      <c r="M53" s="4">
        <f>IFERROR(BS_Timeline!N29/BS_Timeline!N28,"")</f>
        <v/>
      </c>
      <c r="N53" s="4">
        <f>IFERROR(BS_Timeline!O29/BS_Timeline!O28,"")</f>
        <v/>
      </c>
      <c r="O53" s="4">
        <f>IFERROR(BS_Timeline!P29/BS_Timeline!P28,"")</f>
        <v/>
      </c>
      <c r="P53" s="4">
        <f>IFERROR(BS_Timeline!Q29/BS_Timeline!Q28,"")</f>
        <v/>
      </c>
      <c r="Q53" s="4">
        <f>IFERROR(BS_Timeline!R29/BS_Timeline!R28,"")</f>
        <v/>
      </c>
      <c r="R53" s="4">
        <f>IFERROR(BS_Timeline!S29/BS_Timeline!S28,"")</f>
        <v/>
      </c>
      <c r="S53" s="4">
        <f>IFERROR(BS_Timeline!T29/BS_Timeline!T28,"")</f>
        <v/>
      </c>
      <c r="T53" s="4">
        <f>IFERROR(BS_Timeline!U29/BS_Timeline!U28,"")</f>
        <v/>
      </c>
      <c r="U53" s="4">
        <f>IFERROR(BS_Timeline!V29/BS_Timeline!V28,"")</f>
        <v/>
      </c>
    </row>
    <row r="54">
      <c r="A54" s="7" t="inlineStr">
        <is>
          <t>■ MANRIN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1" t="inlineStr">
        <is>
          <t>รายได้รวม (ล้านบาท)</t>
        </is>
      </c>
      <c r="B55" s="4">
        <f>IS_Flow!B27</f>
        <v/>
      </c>
      <c r="C55" s="4">
        <f>IS_Flow!C27</f>
        <v/>
      </c>
      <c r="D55" s="4">
        <f>IS_Flow!D27</f>
        <v/>
      </c>
      <c r="E55" s="4">
        <f>IS_Flow!E27</f>
        <v/>
      </c>
      <c r="F55" s="4">
        <f>IS_Flow!G27</f>
        <v/>
      </c>
      <c r="G55" s="4">
        <f>IS_Flow!H27</f>
        <v/>
      </c>
      <c r="H55" s="4">
        <f>IS_Flow!I27</f>
        <v/>
      </c>
      <c r="I55" s="4">
        <f>IS_Flow!J27</f>
        <v/>
      </c>
      <c r="J55" s="4">
        <f>IS_Flow!L27</f>
        <v/>
      </c>
      <c r="K55" s="4">
        <f>IS_Flow!M27</f>
        <v/>
      </c>
      <c r="L55" s="4">
        <f>IS_Flow!N27</f>
        <v/>
      </c>
      <c r="M55" s="4">
        <f>IS_Flow!O27</f>
        <v/>
      </c>
      <c r="N55" s="4">
        <f>IS_Flow!Q27</f>
        <v/>
      </c>
      <c r="O55" s="4">
        <f>IS_Flow!R27</f>
        <v/>
      </c>
      <c r="P55" s="4">
        <f>IS_Flow!S27</f>
        <v/>
      </c>
      <c r="Q55" s="4">
        <f>IS_Flow!T27</f>
        <v/>
      </c>
      <c r="R55" s="4">
        <f>IS_Flow!V27</f>
        <v/>
      </c>
      <c r="S55" s="4">
        <f>IS_Flow!W27</f>
        <v/>
      </c>
      <c r="T55" s="4">
        <f>IS_Flow!X27</f>
        <v/>
      </c>
      <c r="U55" s="4">
        <f>IS_Flow!Y27</f>
        <v/>
      </c>
    </row>
    <row r="56">
      <c r="A56" s="1" t="inlineStr">
        <is>
          <t>ต้นทุนขาย (ล้านบาท)</t>
        </is>
      </c>
      <c r="B56" s="4">
        <f>IS_Flow!B29</f>
        <v/>
      </c>
      <c r="C56" s="4">
        <f>IS_Flow!C29</f>
        <v/>
      </c>
      <c r="D56" s="4">
        <f>IS_Flow!D29</f>
        <v/>
      </c>
      <c r="E56" s="4">
        <f>IS_Flow!E29</f>
        <v/>
      </c>
      <c r="F56" s="4">
        <f>IS_Flow!G29</f>
        <v/>
      </c>
      <c r="G56" s="4">
        <f>IS_Flow!H29</f>
        <v/>
      </c>
      <c r="H56" s="4">
        <f>IS_Flow!I29</f>
        <v/>
      </c>
      <c r="I56" s="4">
        <f>IS_Flow!J29</f>
        <v/>
      </c>
      <c r="J56" s="4">
        <f>IS_Flow!L29</f>
        <v/>
      </c>
      <c r="K56" s="4">
        <f>IS_Flow!M29</f>
        <v/>
      </c>
      <c r="L56" s="4">
        <f>IS_Flow!N29</f>
        <v/>
      </c>
      <c r="M56" s="4">
        <f>IS_Flow!O29</f>
        <v/>
      </c>
      <c r="N56" s="4">
        <f>IS_Flow!Q29</f>
        <v/>
      </c>
      <c r="O56" s="4">
        <f>IS_Flow!R29</f>
        <v/>
      </c>
      <c r="P56" s="4">
        <f>IS_Flow!S29</f>
        <v/>
      </c>
      <c r="Q56" s="4">
        <f>IS_Flow!T29</f>
        <v/>
      </c>
      <c r="R56" s="4">
        <f>IS_Flow!V29</f>
        <v/>
      </c>
      <c r="S56" s="4">
        <f>IS_Flow!W29</f>
        <v/>
      </c>
      <c r="T56" s="4">
        <f>IS_Flow!X29</f>
        <v/>
      </c>
      <c r="U56" s="4">
        <f>IS_Flow!Y29</f>
        <v/>
      </c>
    </row>
    <row r="57">
      <c r="A57" s="1" t="inlineStr">
        <is>
          <t>กำไรสุทธิ (ล้านบาท)</t>
        </is>
      </c>
      <c r="B57" s="4">
        <f>IS_Flow!B30</f>
        <v/>
      </c>
      <c r="C57" s="4">
        <f>IS_Flow!C30</f>
        <v/>
      </c>
      <c r="D57" s="4">
        <f>IS_Flow!D30</f>
        <v/>
      </c>
      <c r="E57" s="4">
        <f>IS_Flow!E30</f>
        <v/>
      </c>
      <c r="F57" s="4">
        <f>IS_Flow!G30</f>
        <v/>
      </c>
      <c r="G57" s="4">
        <f>IS_Flow!H30</f>
        <v/>
      </c>
      <c r="H57" s="4">
        <f>IS_Flow!I30</f>
        <v/>
      </c>
      <c r="I57" s="4">
        <f>IS_Flow!J30</f>
        <v/>
      </c>
      <c r="J57" s="4">
        <f>IS_Flow!L30</f>
        <v/>
      </c>
      <c r="K57" s="4">
        <f>IS_Flow!M30</f>
        <v/>
      </c>
      <c r="L57" s="4">
        <f>IS_Flow!N30</f>
        <v/>
      </c>
      <c r="M57" s="4">
        <f>IS_Flow!O30</f>
        <v/>
      </c>
      <c r="N57" s="4">
        <f>IS_Flow!Q30</f>
        <v/>
      </c>
      <c r="O57" s="4">
        <f>IS_Flow!R30</f>
        <v/>
      </c>
      <c r="P57" s="4">
        <f>IS_Flow!S30</f>
        <v/>
      </c>
      <c r="Q57" s="4">
        <f>IS_Flow!T30</f>
        <v/>
      </c>
      <c r="R57" s="4">
        <f>IS_Flow!V30</f>
        <v/>
      </c>
      <c r="S57" s="4">
        <f>IS_Flow!W30</f>
        <v/>
      </c>
      <c r="T57" s="4">
        <f>IS_Flow!X30</f>
        <v/>
      </c>
      <c r="U57" s="4">
        <f>IS_Flow!Y30</f>
        <v/>
      </c>
    </row>
    <row r="58">
      <c r="A58" s="1" t="inlineStr">
        <is>
          <t>NPM (%)</t>
        </is>
      </c>
      <c r="B58" s="3">
        <f>IFERROR(IS_Flow!B30/IS_Flow!B27,"")</f>
        <v/>
      </c>
      <c r="C58" s="3">
        <f>IFERROR(IS_Flow!C30/IS_Flow!C27,"")</f>
        <v/>
      </c>
      <c r="D58" s="3">
        <f>IFERROR(IS_Flow!D30/IS_Flow!D27,"")</f>
        <v/>
      </c>
      <c r="E58" s="3">
        <f>IFERROR(IS_Flow!E30/IS_Flow!E27,"")</f>
        <v/>
      </c>
      <c r="F58" s="3">
        <f>IFERROR(IS_Flow!G30/IS_Flow!G27,"")</f>
        <v/>
      </c>
      <c r="G58" s="3">
        <f>IFERROR(IS_Flow!H30/IS_Flow!H27,"")</f>
        <v/>
      </c>
      <c r="H58" s="3">
        <f>IFERROR(IS_Flow!I30/IS_Flow!I27,"")</f>
        <v/>
      </c>
      <c r="I58" s="3">
        <f>IFERROR(IS_Flow!J30/IS_Flow!J27,"")</f>
        <v/>
      </c>
      <c r="J58" s="3">
        <f>IFERROR(IS_Flow!L30/IS_Flow!L27,"")</f>
        <v/>
      </c>
      <c r="K58" s="3">
        <f>IFERROR(IS_Flow!M30/IS_Flow!M27,"")</f>
        <v/>
      </c>
      <c r="L58" s="3">
        <f>IFERROR(IS_Flow!N30/IS_Flow!N27,"")</f>
        <v/>
      </c>
      <c r="M58" s="3">
        <f>IFERROR(IS_Flow!O30/IS_Flow!O27,"")</f>
        <v/>
      </c>
      <c r="N58" s="3">
        <f>IFERROR(IS_Flow!Q30/IS_Flow!Q27,"")</f>
        <v/>
      </c>
      <c r="O58" s="3">
        <f>IFERROR(IS_Flow!R30/IS_Flow!R27,"")</f>
        <v/>
      </c>
      <c r="P58" s="3">
        <f>IFERROR(IS_Flow!S30/IS_Flow!S27,"")</f>
        <v/>
      </c>
      <c r="Q58" s="3">
        <f>IFERROR(IS_Flow!T30/IS_Flow!T27,"")</f>
        <v/>
      </c>
      <c r="R58" s="3">
        <f>IFERROR(IS_Flow!V30/IS_Flow!V27,"")</f>
        <v/>
      </c>
      <c r="S58" s="3">
        <f>IFERROR(IS_Flow!W30/IS_Flow!W27,"")</f>
        <v/>
      </c>
      <c r="T58" s="3">
        <f>IFERROR(IS_Flow!X30/IS_Flow!X27,"")</f>
        <v/>
      </c>
      <c r="U58" s="3">
        <f>IFERROR(IS_Flow!Y30/IS_Flow!Y27,"")</f>
        <v/>
      </c>
    </row>
    <row r="59">
      <c r="A59" s="1" t="inlineStr">
        <is>
          <t>Gross Margin (%)</t>
        </is>
      </c>
      <c r="B59" s="3">
        <f>IFERROR((IS_Flow!B27-IS_Flow!B28-IS_Flow!B29)/(IS_Flow!B27-IS_Flow!B28),"")</f>
        <v/>
      </c>
      <c r="C59" s="3">
        <f>IFERROR((IS_Flow!C27-IS_Flow!C28-IS_Flow!C29)/(IS_Flow!C27-IS_Flow!C28),"")</f>
        <v/>
      </c>
      <c r="D59" s="3">
        <f>IFERROR((IS_Flow!D27-IS_Flow!D28-IS_Flow!D29)/(IS_Flow!D27-IS_Flow!D28),"")</f>
        <v/>
      </c>
      <c r="E59" s="3">
        <f>IFERROR((IS_Flow!E27-IS_Flow!E28-IS_Flow!E29)/(IS_Flow!E27-IS_Flow!E28),"")</f>
        <v/>
      </c>
      <c r="F59" s="3">
        <f>IFERROR((IS_Flow!G27-IS_Flow!G28-IS_Flow!G29)/(IS_Flow!G27-IS_Flow!G28),"")</f>
        <v/>
      </c>
      <c r="G59" s="3">
        <f>IFERROR((IS_Flow!H27-IS_Flow!H28-IS_Flow!H29)/(IS_Flow!H27-IS_Flow!H28),"")</f>
        <v/>
      </c>
      <c r="H59" s="3">
        <f>IFERROR((IS_Flow!I27-IS_Flow!I28-IS_Flow!I29)/(IS_Flow!I27-IS_Flow!I28),"")</f>
        <v/>
      </c>
      <c r="I59" s="3">
        <f>IFERROR((IS_Flow!J27-IS_Flow!J28-IS_Flow!J29)/(IS_Flow!J27-IS_Flow!J28),"")</f>
        <v/>
      </c>
      <c r="J59" s="3">
        <f>IFERROR((IS_Flow!L27-IS_Flow!L28-IS_Flow!L29)/(IS_Flow!L27-IS_Flow!L28),"")</f>
        <v/>
      </c>
      <c r="K59" s="3">
        <f>IFERROR((IS_Flow!M27-IS_Flow!M28-IS_Flow!M29)/(IS_Flow!M27-IS_Flow!M28),"")</f>
        <v/>
      </c>
      <c r="L59" s="3">
        <f>IFERROR((IS_Flow!N27-IS_Flow!N28-IS_Flow!N29)/(IS_Flow!N27-IS_Flow!N28),"")</f>
        <v/>
      </c>
      <c r="M59" s="3">
        <f>IFERROR((IS_Flow!O27-IS_Flow!O28-IS_Flow!O29)/(IS_Flow!O27-IS_Flow!O28),"")</f>
        <v/>
      </c>
      <c r="N59" s="3">
        <f>IFERROR((IS_Flow!Q27-IS_Flow!Q28-IS_Flow!Q29)/(IS_Flow!Q27-IS_Flow!Q28),"")</f>
        <v/>
      </c>
      <c r="O59" s="3">
        <f>IFERROR((IS_Flow!R27-IS_Flow!R28-IS_Flow!R29)/(IS_Flow!R27-IS_Flow!R28),"")</f>
        <v/>
      </c>
      <c r="P59" s="3">
        <f>IFERROR((IS_Flow!S27-IS_Flow!S28-IS_Flow!S29)/(IS_Flow!S27-IS_Flow!S28),"")</f>
        <v/>
      </c>
      <c r="Q59" s="3">
        <f>IFERROR((IS_Flow!T27-IS_Flow!T28-IS_Flow!T29)/(IS_Flow!T27-IS_Flow!T28),"")</f>
        <v/>
      </c>
      <c r="R59" s="3">
        <f>IFERROR((IS_Flow!V27-IS_Flow!V28-IS_Flow!V29)/(IS_Flow!V27-IS_Flow!V28),"")</f>
        <v/>
      </c>
      <c r="S59" s="3">
        <f>IFERROR((IS_Flow!W27-IS_Flow!W28-IS_Flow!W29)/(IS_Flow!W27-IS_Flow!W28),"")</f>
        <v/>
      </c>
      <c r="T59" s="3">
        <f>IFERROR((IS_Flow!X27-IS_Flow!X28-IS_Flow!X29)/(IS_Flow!X27-IS_Flow!X28),"")</f>
        <v/>
      </c>
      <c r="U59" s="3">
        <f>IFERROR((IS_Flow!Y27-IS_Flow!Y28-IS_Flow!Y29)/(IS_Flow!Y27-IS_Flow!Y28),"")</f>
        <v/>
      </c>
    </row>
    <row r="60">
      <c r="A60" s="1" t="inlineStr">
        <is>
          <t>DSO (วัน)</t>
        </is>
      </c>
      <c r="B60" s="4">
        <f>IFERROR(((BS_Timeline!B31+BS_Timeline!C31)/2)/IS_Flow!B27*90,"")</f>
        <v/>
      </c>
      <c r="C60" s="4">
        <f>IFERROR(((BS_Timeline!C31+BS_Timeline!D31)/2)/IS_Flow!C27*91,"")</f>
        <v/>
      </c>
      <c r="D60" s="4">
        <f>IFERROR(((BS_Timeline!D31+BS_Timeline!E31)/2)/IS_Flow!D27*92,"")</f>
        <v/>
      </c>
      <c r="E60" s="4">
        <f>IFERROR(((BS_Timeline!E31+BS_Timeline!F31)/2)/IS_Flow!E27*92,"")</f>
        <v/>
      </c>
      <c r="F60" s="4">
        <f>IFERROR(((BS_Timeline!F31+BS_Timeline!G31)/2)/IS_Flow!G27*90,"")</f>
        <v/>
      </c>
      <c r="G60" s="4">
        <f>IFERROR(((BS_Timeline!G31+BS_Timeline!H31)/2)/IS_Flow!H27*91,"")</f>
        <v/>
      </c>
      <c r="H60" s="4">
        <f>IFERROR(((BS_Timeline!H31+BS_Timeline!I31)/2)/IS_Flow!I27*92,"")</f>
        <v/>
      </c>
      <c r="I60" s="4">
        <f>IFERROR(((BS_Timeline!I31+BS_Timeline!J31)/2)/IS_Flow!J27*92,"")</f>
        <v/>
      </c>
      <c r="J60" s="4">
        <f>IFERROR(((BS_Timeline!J31+BS_Timeline!K31)/2)/IS_Flow!L27*90,"")</f>
        <v/>
      </c>
      <c r="K60" s="4">
        <f>IFERROR(((BS_Timeline!K31+BS_Timeline!L31)/2)/IS_Flow!M27*91,"")</f>
        <v/>
      </c>
      <c r="L60" s="4">
        <f>IFERROR(((BS_Timeline!L31+BS_Timeline!M31)/2)/IS_Flow!N27*92,"")</f>
        <v/>
      </c>
      <c r="M60" s="4">
        <f>IFERROR(((BS_Timeline!M31+BS_Timeline!N31)/2)/IS_Flow!O27*92,"")</f>
        <v/>
      </c>
      <c r="N60" s="4">
        <f>IFERROR(((BS_Timeline!N31+BS_Timeline!O31)/2)/IS_Flow!Q27*90,"")</f>
        <v/>
      </c>
      <c r="O60" s="4">
        <f>IFERROR(((BS_Timeline!O31+BS_Timeline!P31)/2)/IS_Flow!R27*91,"")</f>
        <v/>
      </c>
      <c r="P60" s="4">
        <f>IFERROR(((BS_Timeline!P31+BS_Timeline!Q31)/2)/IS_Flow!S27*92,"")</f>
        <v/>
      </c>
      <c r="Q60" s="4">
        <f>IFERROR(((BS_Timeline!Q31+BS_Timeline!R31)/2)/IS_Flow!T27*92,"")</f>
        <v/>
      </c>
      <c r="R60" s="4">
        <f>IFERROR(((BS_Timeline!R31+BS_Timeline!S31)/2)/IS_Flow!V27*90,"")</f>
        <v/>
      </c>
      <c r="S60" s="4">
        <f>IFERROR(((BS_Timeline!S31+BS_Timeline!T31)/2)/IS_Flow!W27*91,"")</f>
        <v/>
      </c>
      <c r="T60" s="4">
        <f>IFERROR(((BS_Timeline!T31+BS_Timeline!U31)/2)/IS_Flow!X27*92,"")</f>
        <v/>
      </c>
      <c r="U60" s="4">
        <f>IFERROR(((BS_Timeline!U31+BS_Timeline!V31)/2)/IS_Flow!Y27*92,"")</f>
        <v/>
      </c>
    </row>
    <row r="61">
      <c r="A61" s="1" t="inlineStr">
        <is>
          <t>DIO (วัน)</t>
        </is>
      </c>
      <c r="B61" s="4">
        <f>IFERROR(((BS_Timeline!B32+BS_Timeline!C32)/2)/IS_Flow!B29*90,"")</f>
        <v/>
      </c>
      <c r="C61" s="4">
        <f>IFERROR(((BS_Timeline!C32+BS_Timeline!D32)/2)/IS_Flow!C29*91,"")</f>
        <v/>
      </c>
      <c r="D61" s="4">
        <f>IFERROR(((BS_Timeline!D32+BS_Timeline!E32)/2)/IS_Flow!D29*92,"")</f>
        <v/>
      </c>
      <c r="E61" s="4">
        <f>IFERROR(((BS_Timeline!E32+BS_Timeline!F32)/2)/IS_Flow!E29*92,"")</f>
        <v/>
      </c>
      <c r="F61" s="4">
        <f>IFERROR(((BS_Timeline!F32+BS_Timeline!G32)/2)/IS_Flow!G29*90,"")</f>
        <v/>
      </c>
      <c r="G61" s="4">
        <f>IFERROR(((BS_Timeline!G32+BS_Timeline!H32)/2)/IS_Flow!H29*91,"")</f>
        <v/>
      </c>
      <c r="H61" s="4">
        <f>IFERROR(((BS_Timeline!H32+BS_Timeline!I32)/2)/IS_Flow!I29*92,"")</f>
        <v/>
      </c>
      <c r="I61" s="4">
        <f>IFERROR(((BS_Timeline!I32+BS_Timeline!J32)/2)/IS_Flow!J29*92,"")</f>
        <v/>
      </c>
      <c r="J61" s="4">
        <f>IFERROR(((BS_Timeline!J32+BS_Timeline!K32)/2)/IS_Flow!L29*90,"")</f>
        <v/>
      </c>
      <c r="K61" s="4">
        <f>IFERROR(((BS_Timeline!K32+BS_Timeline!L32)/2)/IS_Flow!M29*91,"")</f>
        <v/>
      </c>
      <c r="L61" s="4">
        <f>IFERROR(((BS_Timeline!L32+BS_Timeline!M32)/2)/IS_Flow!N29*92,"")</f>
        <v/>
      </c>
      <c r="M61" s="4">
        <f>IFERROR(((BS_Timeline!M32+BS_Timeline!N32)/2)/IS_Flow!O29*92,"")</f>
        <v/>
      </c>
      <c r="N61" s="4">
        <f>IFERROR(((BS_Timeline!N32+BS_Timeline!O32)/2)/IS_Flow!Q29*90,"")</f>
        <v/>
      </c>
      <c r="O61" s="4">
        <f>IFERROR(((BS_Timeline!O32+BS_Timeline!P32)/2)/IS_Flow!R29*91,"")</f>
        <v/>
      </c>
      <c r="P61" s="4">
        <f>IFERROR(((BS_Timeline!P32+BS_Timeline!Q32)/2)/IS_Flow!S29*92,"")</f>
        <v/>
      </c>
      <c r="Q61" s="4">
        <f>IFERROR(((BS_Timeline!Q32+BS_Timeline!R32)/2)/IS_Flow!T29*92,"")</f>
        <v/>
      </c>
      <c r="R61" s="4">
        <f>IFERROR(((BS_Timeline!R32+BS_Timeline!S32)/2)/IS_Flow!V29*90,"")</f>
        <v/>
      </c>
      <c r="S61" s="4">
        <f>IFERROR(((BS_Timeline!S32+BS_Timeline!T32)/2)/IS_Flow!W29*91,"")</f>
        <v/>
      </c>
      <c r="T61" s="4">
        <f>IFERROR(((BS_Timeline!T32+BS_Timeline!U32)/2)/IS_Flow!X29*92,"")</f>
        <v/>
      </c>
      <c r="U61" s="4">
        <f>IFERROR(((BS_Timeline!U32+BS_Timeline!V32)/2)/IS_Flow!Y29*92,"")</f>
        <v/>
      </c>
    </row>
    <row r="62">
      <c r="A62" s="1" t="inlineStr">
        <is>
          <t>DPO (วัน)</t>
        </is>
      </c>
      <c r="B62" s="4">
        <f>IFERROR(((BS_Timeline!B33+BS_Timeline!C33)/2)/IS_Flow!B29*90,"")</f>
        <v/>
      </c>
      <c r="C62" s="4">
        <f>IFERROR(((BS_Timeline!C33+BS_Timeline!D33)/2)/IS_Flow!C29*91,"")</f>
        <v/>
      </c>
      <c r="D62" s="4">
        <f>IFERROR(((BS_Timeline!D33+BS_Timeline!E33)/2)/IS_Flow!D29*92,"")</f>
        <v/>
      </c>
      <c r="E62" s="4">
        <f>IFERROR(((BS_Timeline!E33+BS_Timeline!F33)/2)/IS_Flow!E29*92,"")</f>
        <v/>
      </c>
      <c r="F62" s="4">
        <f>IFERROR(((BS_Timeline!F33+BS_Timeline!G33)/2)/IS_Flow!G29*90,"")</f>
        <v/>
      </c>
      <c r="G62" s="4">
        <f>IFERROR(((BS_Timeline!G33+BS_Timeline!H33)/2)/IS_Flow!H29*91,"")</f>
        <v/>
      </c>
      <c r="H62" s="4">
        <f>IFERROR(((BS_Timeline!H33+BS_Timeline!I33)/2)/IS_Flow!I29*92,"")</f>
        <v/>
      </c>
      <c r="I62" s="4">
        <f>IFERROR(((BS_Timeline!I33+BS_Timeline!J33)/2)/IS_Flow!J29*92,"")</f>
        <v/>
      </c>
      <c r="J62" s="4">
        <f>IFERROR(((BS_Timeline!J33+BS_Timeline!K33)/2)/IS_Flow!L29*90,"")</f>
        <v/>
      </c>
      <c r="K62" s="4">
        <f>IFERROR(((BS_Timeline!K33+BS_Timeline!L33)/2)/IS_Flow!M29*91,"")</f>
        <v/>
      </c>
      <c r="L62" s="4">
        <f>IFERROR(((BS_Timeline!L33+BS_Timeline!M33)/2)/IS_Flow!N29*92,"")</f>
        <v/>
      </c>
      <c r="M62" s="4">
        <f>IFERROR(((BS_Timeline!M33+BS_Timeline!N33)/2)/IS_Flow!O29*92,"")</f>
        <v/>
      </c>
      <c r="N62" s="4">
        <f>IFERROR(((BS_Timeline!N33+BS_Timeline!O33)/2)/IS_Flow!Q29*90,"")</f>
        <v/>
      </c>
      <c r="O62" s="4">
        <f>IFERROR(((BS_Timeline!O33+BS_Timeline!P33)/2)/IS_Flow!R29*91,"")</f>
        <v/>
      </c>
      <c r="P62" s="4">
        <f>IFERROR(((BS_Timeline!P33+BS_Timeline!Q33)/2)/IS_Flow!S29*92,"")</f>
        <v/>
      </c>
      <c r="Q62" s="4">
        <f>IFERROR(((BS_Timeline!Q33+BS_Timeline!R33)/2)/IS_Flow!T29*92,"")</f>
        <v/>
      </c>
      <c r="R62" s="4">
        <f>IFERROR(((BS_Timeline!R33+BS_Timeline!S33)/2)/IS_Flow!V29*90,"")</f>
        <v/>
      </c>
      <c r="S62" s="4">
        <f>IFERROR(((BS_Timeline!S33+BS_Timeline!T33)/2)/IS_Flow!W29*91,"")</f>
        <v/>
      </c>
      <c r="T62" s="4">
        <f>IFERROR(((BS_Timeline!T33+BS_Timeline!U33)/2)/IS_Flow!X29*92,"")</f>
        <v/>
      </c>
      <c r="U62" s="4">
        <f>IFERROR(((BS_Timeline!U33+BS_Timeline!V33)/2)/IS_Flow!Y29*92,"")</f>
        <v/>
      </c>
    </row>
    <row r="63">
      <c r="A63" s="1" t="inlineStr">
        <is>
          <t>CCC (วัน)</t>
        </is>
      </c>
      <c r="B63" s="4">
        <f>IFERROR(B60+B61-B62,"")</f>
        <v/>
      </c>
      <c r="C63" s="4">
        <f>IFERROR(C60+C61-C62,"")</f>
        <v/>
      </c>
      <c r="D63" s="4">
        <f>IFERROR(D60+D61-D62,"")</f>
        <v/>
      </c>
      <c r="E63" s="4">
        <f>IFERROR(E60+E61-E62,"")</f>
        <v/>
      </c>
      <c r="F63" s="4">
        <f>IFERROR(F60+F61-F62,"")</f>
        <v/>
      </c>
      <c r="G63" s="4">
        <f>IFERROR(G60+G61-G62,"")</f>
        <v/>
      </c>
      <c r="H63" s="4">
        <f>IFERROR(H60+H61-H62,"")</f>
        <v/>
      </c>
      <c r="I63" s="4">
        <f>IFERROR(I60+I61-I62,"")</f>
        <v/>
      </c>
      <c r="J63" s="4">
        <f>IFERROR(J60+J61-J62,"")</f>
        <v/>
      </c>
      <c r="K63" s="4">
        <f>IFERROR(K60+K61-K62,"")</f>
        <v/>
      </c>
      <c r="L63" s="4">
        <f>IFERROR(L60+L61-L62,"")</f>
        <v/>
      </c>
      <c r="M63" s="4">
        <f>IFERROR(M60+M61-M62,"")</f>
        <v/>
      </c>
      <c r="N63" s="4">
        <f>IFERROR(N60+N61-N62,"")</f>
        <v/>
      </c>
      <c r="O63" s="4">
        <f>IFERROR(O60+O61-O62,"")</f>
        <v/>
      </c>
      <c r="P63" s="4">
        <f>IFERROR(P60+P61-P62,"")</f>
        <v/>
      </c>
      <c r="Q63" s="4">
        <f>IFERROR(Q60+Q61-Q62,"")</f>
        <v/>
      </c>
      <c r="R63" s="4">
        <f>IFERROR(R60+R61-R62,"")</f>
        <v/>
      </c>
      <c r="S63" s="4">
        <f>IFERROR(S60+S61-S62,"")</f>
        <v/>
      </c>
      <c r="T63" s="4">
        <f>IFERROR(T60+T61-T62,"")</f>
        <v/>
      </c>
      <c r="U63" s="4">
        <f>IFERROR(U60+U61-U62,"")</f>
        <v/>
      </c>
    </row>
    <row r="64">
      <c r="A64" s="1" t="inlineStr">
        <is>
          <t>ROA รายไตรมาส (%)</t>
        </is>
      </c>
      <c r="B64" s="3">
        <f>IFERROR(IS_Flow!B30/((BS_Timeline!B34+BS_Timeline!C34)/2),"")</f>
        <v/>
      </c>
      <c r="C64" s="3">
        <f>IFERROR(IS_Flow!C30/((BS_Timeline!C34+BS_Timeline!D34)/2),"")</f>
        <v/>
      </c>
      <c r="D64" s="3">
        <f>IFERROR(IS_Flow!D30/((BS_Timeline!D34+BS_Timeline!E34)/2),"")</f>
        <v/>
      </c>
      <c r="E64" s="3">
        <f>IFERROR(IS_Flow!E30/((BS_Timeline!E34+BS_Timeline!F34)/2),"")</f>
        <v/>
      </c>
      <c r="F64" s="3">
        <f>IFERROR(IS_Flow!G30/((BS_Timeline!F34+BS_Timeline!G34)/2),"")</f>
        <v/>
      </c>
      <c r="G64" s="3">
        <f>IFERROR(IS_Flow!H30/((BS_Timeline!G34+BS_Timeline!H34)/2),"")</f>
        <v/>
      </c>
      <c r="H64" s="3">
        <f>IFERROR(IS_Flow!I30/((BS_Timeline!H34+BS_Timeline!I34)/2),"")</f>
        <v/>
      </c>
      <c r="I64" s="3">
        <f>IFERROR(IS_Flow!J30/((BS_Timeline!I34+BS_Timeline!J34)/2),"")</f>
        <v/>
      </c>
      <c r="J64" s="3">
        <f>IFERROR(IS_Flow!L30/((BS_Timeline!J34+BS_Timeline!K34)/2),"")</f>
        <v/>
      </c>
      <c r="K64" s="3">
        <f>IFERROR(IS_Flow!M30/((BS_Timeline!K34+BS_Timeline!L34)/2),"")</f>
        <v/>
      </c>
      <c r="L64" s="3">
        <f>IFERROR(IS_Flow!N30/((BS_Timeline!L34+BS_Timeline!M34)/2),"")</f>
        <v/>
      </c>
      <c r="M64" s="3">
        <f>IFERROR(IS_Flow!O30/((BS_Timeline!M34+BS_Timeline!N34)/2),"")</f>
        <v/>
      </c>
      <c r="N64" s="3">
        <f>IFERROR(IS_Flow!Q30/((BS_Timeline!N34+BS_Timeline!O34)/2),"")</f>
        <v/>
      </c>
      <c r="O64" s="3">
        <f>IFERROR(IS_Flow!R30/((BS_Timeline!O34+BS_Timeline!P34)/2),"")</f>
        <v/>
      </c>
      <c r="P64" s="3">
        <f>IFERROR(IS_Flow!S30/((BS_Timeline!P34+BS_Timeline!Q34)/2),"")</f>
        <v/>
      </c>
      <c r="Q64" s="3">
        <f>IFERROR(IS_Flow!T30/((BS_Timeline!Q34+BS_Timeline!R34)/2),"")</f>
        <v/>
      </c>
      <c r="R64" s="3">
        <f>IFERROR(IS_Flow!V30/((BS_Timeline!R34+BS_Timeline!S34)/2),"")</f>
        <v/>
      </c>
      <c r="S64" s="3">
        <f>IFERROR(IS_Flow!W30/((BS_Timeline!S34+BS_Timeline!T34)/2),"")</f>
        <v/>
      </c>
      <c r="T64" s="3">
        <f>IFERROR(IS_Flow!X30/((BS_Timeline!T34+BS_Timeline!U34)/2),"")</f>
        <v/>
      </c>
      <c r="U64" s="3">
        <f>IFERROR(IS_Flow!Y30/((BS_Timeline!U34+BS_Timeline!V34)/2),"")</f>
        <v/>
      </c>
    </row>
    <row r="65">
      <c r="A65" s="1" t="inlineStr">
        <is>
          <t>ROE รายไตรมาส (%)</t>
        </is>
      </c>
      <c r="B65" s="3">
        <f>IFERROR(IS_Flow!B30/((BS_Timeline!B35+BS_Timeline!C35)/2),"")</f>
        <v/>
      </c>
      <c r="C65" s="3">
        <f>IFERROR(IS_Flow!C30/((BS_Timeline!C35+BS_Timeline!D35)/2),"")</f>
        <v/>
      </c>
      <c r="D65" s="3">
        <f>IFERROR(IS_Flow!D30/((BS_Timeline!D35+BS_Timeline!E35)/2),"")</f>
        <v/>
      </c>
      <c r="E65" s="3">
        <f>IFERROR(IS_Flow!E30/((BS_Timeline!E35+BS_Timeline!F35)/2),"")</f>
        <v/>
      </c>
      <c r="F65" s="3">
        <f>IFERROR(IS_Flow!G30/((BS_Timeline!F35+BS_Timeline!G35)/2),"")</f>
        <v/>
      </c>
      <c r="G65" s="3">
        <f>IFERROR(IS_Flow!H30/((BS_Timeline!G35+BS_Timeline!H35)/2),"")</f>
        <v/>
      </c>
      <c r="H65" s="3">
        <f>IFERROR(IS_Flow!I30/((BS_Timeline!H35+BS_Timeline!I35)/2),"")</f>
        <v/>
      </c>
      <c r="I65" s="3">
        <f>IFERROR(IS_Flow!J30/((BS_Timeline!I35+BS_Timeline!J35)/2),"")</f>
        <v/>
      </c>
      <c r="J65" s="3">
        <f>IFERROR(IS_Flow!L30/((BS_Timeline!J35+BS_Timeline!K35)/2),"")</f>
        <v/>
      </c>
      <c r="K65" s="3">
        <f>IFERROR(IS_Flow!M30/((BS_Timeline!K35+BS_Timeline!L35)/2),"")</f>
        <v/>
      </c>
      <c r="L65" s="3">
        <f>IFERROR(IS_Flow!N30/((BS_Timeline!L35+BS_Timeline!M35)/2),"")</f>
        <v/>
      </c>
      <c r="M65" s="3">
        <f>IFERROR(IS_Flow!O30/((BS_Timeline!M35+BS_Timeline!N35)/2),"")</f>
        <v/>
      </c>
      <c r="N65" s="3">
        <f>IFERROR(IS_Flow!Q30/((BS_Timeline!N35+BS_Timeline!O35)/2),"")</f>
        <v/>
      </c>
      <c r="O65" s="3">
        <f>IFERROR(IS_Flow!R30/((BS_Timeline!O35+BS_Timeline!P35)/2),"")</f>
        <v/>
      </c>
      <c r="P65" s="3">
        <f>IFERROR(IS_Flow!S30/((BS_Timeline!P35+BS_Timeline!Q35)/2),"")</f>
        <v/>
      </c>
      <c r="Q65" s="3">
        <f>IFERROR(IS_Flow!T30/((BS_Timeline!Q35+BS_Timeline!R35)/2),"")</f>
        <v/>
      </c>
      <c r="R65" s="3">
        <f>IFERROR(IS_Flow!V30/((BS_Timeline!R35+BS_Timeline!S35)/2),"")</f>
        <v/>
      </c>
      <c r="S65" s="3">
        <f>IFERROR(IS_Flow!W30/((BS_Timeline!S35+BS_Timeline!T35)/2),"")</f>
        <v/>
      </c>
      <c r="T65" s="3">
        <f>IFERROR(IS_Flow!X30/((BS_Timeline!T35+BS_Timeline!U35)/2),"")</f>
        <v/>
      </c>
      <c r="U65" s="3">
        <f>IFERROR(IS_Flow!Y30/((BS_Timeline!U35+BS_Timeline!V35)/2),"")</f>
        <v/>
      </c>
    </row>
    <row r="66">
      <c r="A66" s="1" t="inlineStr">
        <is>
          <t>D/E (เท่า)</t>
        </is>
      </c>
      <c r="B66" s="4">
        <f>IFERROR(BS_Timeline!C36/BS_Timeline!C35,"")</f>
        <v/>
      </c>
      <c r="C66" s="4">
        <f>IFERROR(BS_Timeline!D36/BS_Timeline!D35,"")</f>
        <v/>
      </c>
      <c r="D66" s="4">
        <f>IFERROR(BS_Timeline!E36/BS_Timeline!E35,"")</f>
        <v/>
      </c>
      <c r="E66" s="4">
        <f>IFERROR(BS_Timeline!F36/BS_Timeline!F35,"")</f>
        <v/>
      </c>
      <c r="F66" s="4">
        <f>IFERROR(BS_Timeline!G36/BS_Timeline!G35,"")</f>
        <v/>
      </c>
      <c r="G66" s="4">
        <f>IFERROR(BS_Timeline!H36/BS_Timeline!H35,"")</f>
        <v/>
      </c>
      <c r="H66" s="4">
        <f>IFERROR(BS_Timeline!I36/BS_Timeline!I35,"")</f>
        <v/>
      </c>
      <c r="I66" s="4">
        <f>IFERROR(BS_Timeline!J36/BS_Timeline!J35,"")</f>
        <v/>
      </c>
      <c r="J66" s="4">
        <f>IFERROR(BS_Timeline!K36/BS_Timeline!K35,"")</f>
        <v/>
      </c>
      <c r="K66" s="4">
        <f>IFERROR(BS_Timeline!L36/BS_Timeline!L35,"")</f>
        <v/>
      </c>
      <c r="L66" s="4">
        <f>IFERROR(BS_Timeline!M36/BS_Timeline!M35,"")</f>
        <v/>
      </c>
      <c r="M66" s="4">
        <f>IFERROR(BS_Timeline!N36/BS_Timeline!N35,"")</f>
        <v/>
      </c>
      <c r="N66" s="4">
        <f>IFERROR(BS_Timeline!O36/BS_Timeline!O35,"")</f>
        <v/>
      </c>
      <c r="O66" s="4">
        <f>IFERROR(BS_Timeline!P36/BS_Timeline!P35,"")</f>
        <v/>
      </c>
      <c r="P66" s="4">
        <f>IFERROR(BS_Timeline!Q36/BS_Timeline!Q35,"")</f>
        <v/>
      </c>
      <c r="Q66" s="4">
        <f>IFERROR(BS_Timeline!R36/BS_Timeline!R35,"")</f>
        <v/>
      </c>
      <c r="R66" s="4">
        <f>IFERROR(BS_Timeline!S36/BS_Timeline!S35,"")</f>
        <v/>
      </c>
      <c r="S66" s="4">
        <f>IFERROR(BS_Timeline!T36/BS_Timeline!T35,"")</f>
        <v/>
      </c>
      <c r="T66" s="4">
        <f>IFERROR(BS_Timeline!U36/BS_Timeline!U35,"")</f>
        <v/>
      </c>
      <c r="U66" s="4">
        <f>IFERROR(BS_Timeline!V36/BS_Timeline!V35,"")</f>
        <v/>
      </c>
    </row>
    <row r="67">
      <c r="A67" s="7" t="inlineStr">
        <is>
          <t>■ MINT</t>
        </is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1" t="inlineStr">
        <is>
          <t>รายได้รวม (ล้านบาท)</t>
        </is>
      </c>
      <c r="B68" s="4">
        <f>IS_Flow!B33</f>
        <v/>
      </c>
      <c r="C68" s="4">
        <f>IS_Flow!C33</f>
        <v/>
      </c>
      <c r="D68" s="4">
        <f>IS_Flow!D33</f>
        <v/>
      </c>
      <c r="E68" s="4">
        <f>IS_Flow!E33</f>
        <v/>
      </c>
      <c r="F68" s="4">
        <f>IS_Flow!G33</f>
        <v/>
      </c>
      <c r="G68" s="4">
        <f>IS_Flow!H33</f>
        <v/>
      </c>
      <c r="H68" s="4">
        <f>IS_Flow!I33</f>
        <v/>
      </c>
      <c r="I68" s="4">
        <f>IS_Flow!J33</f>
        <v/>
      </c>
      <c r="J68" s="4">
        <f>IS_Flow!L33</f>
        <v/>
      </c>
      <c r="K68" s="4">
        <f>IS_Flow!M33</f>
        <v/>
      </c>
      <c r="L68" s="4">
        <f>IS_Flow!N33</f>
        <v/>
      </c>
      <c r="M68" s="4">
        <f>IS_Flow!O33</f>
        <v/>
      </c>
      <c r="N68" s="4">
        <f>IS_Flow!Q33</f>
        <v/>
      </c>
      <c r="O68" s="4">
        <f>IS_Flow!R33</f>
        <v/>
      </c>
      <c r="P68" s="4">
        <f>IS_Flow!S33</f>
        <v/>
      </c>
      <c r="Q68" s="4">
        <f>IS_Flow!T33</f>
        <v/>
      </c>
      <c r="R68" s="4">
        <f>IS_Flow!V33</f>
        <v/>
      </c>
      <c r="S68" s="4">
        <f>IS_Flow!W33</f>
        <v/>
      </c>
      <c r="T68" s="4">
        <f>IS_Flow!X33</f>
        <v/>
      </c>
      <c r="U68" s="4">
        <f>IS_Flow!Y33</f>
        <v/>
      </c>
    </row>
    <row r="69">
      <c r="A69" s="1" t="inlineStr">
        <is>
          <t>ต้นทุนขาย (ล้านบาท)</t>
        </is>
      </c>
      <c r="B69" s="4">
        <f>IS_Flow!B35</f>
        <v/>
      </c>
      <c r="C69" s="4">
        <f>IS_Flow!C35</f>
        <v/>
      </c>
      <c r="D69" s="4">
        <f>IS_Flow!D35</f>
        <v/>
      </c>
      <c r="E69" s="4">
        <f>IS_Flow!E35</f>
        <v/>
      </c>
      <c r="F69" s="4">
        <f>IS_Flow!G35</f>
        <v/>
      </c>
      <c r="G69" s="4">
        <f>IS_Flow!H35</f>
        <v/>
      </c>
      <c r="H69" s="4">
        <f>IS_Flow!I35</f>
        <v/>
      </c>
      <c r="I69" s="4">
        <f>IS_Flow!J35</f>
        <v/>
      </c>
      <c r="J69" s="4">
        <f>IS_Flow!L35</f>
        <v/>
      </c>
      <c r="K69" s="4">
        <f>IS_Flow!M35</f>
        <v/>
      </c>
      <c r="L69" s="4">
        <f>IS_Flow!N35</f>
        <v/>
      </c>
      <c r="M69" s="4">
        <f>IS_Flow!O35</f>
        <v/>
      </c>
      <c r="N69" s="4">
        <f>IS_Flow!Q35</f>
        <v/>
      </c>
      <c r="O69" s="4">
        <f>IS_Flow!R35</f>
        <v/>
      </c>
      <c r="P69" s="4">
        <f>IS_Flow!S35</f>
        <v/>
      </c>
      <c r="Q69" s="4">
        <f>IS_Flow!T35</f>
        <v/>
      </c>
      <c r="R69" s="4">
        <f>IS_Flow!V35</f>
        <v/>
      </c>
      <c r="S69" s="4">
        <f>IS_Flow!W35</f>
        <v/>
      </c>
      <c r="T69" s="4">
        <f>IS_Flow!X35</f>
        <v/>
      </c>
      <c r="U69" s="4">
        <f>IS_Flow!Y35</f>
        <v/>
      </c>
    </row>
    <row r="70">
      <c r="A70" s="1" t="inlineStr">
        <is>
          <t>กำไรสุทธิ (ล้านบาท)</t>
        </is>
      </c>
      <c r="B70" s="4">
        <f>IS_Flow!B36</f>
        <v/>
      </c>
      <c r="C70" s="4">
        <f>IS_Flow!C36</f>
        <v/>
      </c>
      <c r="D70" s="4">
        <f>IS_Flow!D36</f>
        <v/>
      </c>
      <c r="E70" s="4">
        <f>IS_Flow!E36</f>
        <v/>
      </c>
      <c r="F70" s="4">
        <f>IS_Flow!G36</f>
        <v/>
      </c>
      <c r="G70" s="4">
        <f>IS_Flow!H36</f>
        <v/>
      </c>
      <c r="H70" s="4">
        <f>IS_Flow!I36</f>
        <v/>
      </c>
      <c r="I70" s="4">
        <f>IS_Flow!J36</f>
        <v/>
      </c>
      <c r="J70" s="4">
        <f>IS_Flow!L36</f>
        <v/>
      </c>
      <c r="K70" s="4">
        <f>IS_Flow!M36</f>
        <v/>
      </c>
      <c r="L70" s="4">
        <f>IS_Flow!N36</f>
        <v/>
      </c>
      <c r="M70" s="4">
        <f>IS_Flow!O36</f>
        <v/>
      </c>
      <c r="N70" s="4">
        <f>IS_Flow!Q36</f>
        <v/>
      </c>
      <c r="O70" s="4">
        <f>IS_Flow!R36</f>
        <v/>
      </c>
      <c r="P70" s="4">
        <f>IS_Flow!S36</f>
        <v/>
      </c>
      <c r="Q70" s="4">
        <f>IS_Flow!T36</f>
        <v/>
      </c>
      <c r="R70" s="4">
        <f>IS_Flow!V36</f>
        <v/>
      </c>
      <c r="S70" s="4">
        <f>IS_Flow!W36</f>
        <v/>
      </c>
      <c r="T70" s="4">
        <f>IS_Flow!X36</f>
        <v/>
      </c>
      <c r="U70" s="4">
        <f>IS_Flow!Y36</f>
        <v/>
      </c>
    </row>
    <row r="71">
      <c r="A71" s="1" t="inlineStr">
        <is>
          <t>NPM (%)</t>
        </is>
      </c>
      <c r="B71" s="3">
        <f>IFERROR(IS_Flow!B36/IS_Flow!B33,"")</f>
        <v/>
      </c>
      <c r="C71" s="3">
        <f>IFERROR(IS_Flow!C36/IS_Flow!C33,"")</f>
        <v/>
      </c>
      <c r="D71" s="3">
        <f>IFERROR(IS_Flow!D36/IS_Flow!D33,"")</f>
        <v/>
      </c>
      <c r="E71" s="3">
        <f>IFERROR(IS_Flow!E36/IS_Flow!E33,"")</f>
        <v/>
      </c>
      <c r="F71" s="3">
        <f>IFERROR(IS_Flow!G36/IS_Flow!G33,"")</f>
        <v/>
      </c>
      <c r="G71" s="3">
        <f>IFERROR(IS_Flow!H36/IS_Flow!H33,"")</f>
        <v/>
      </c>
      <c r="H71" s="3">
        <f>IFERROR(IS_Flow!I36/IS_Flow!I33,"")</f>
        <v/>
      </c>
      <c r="I71" s="3">
        <f>IFERROR(IS_Flow!J36/IS_Flow!J33,"")</f>
        <v/>
      </c>
      <c r="J71" s="3">
        <f>IFERROR(IS_Flow!L36/IS_Flow!L33,"")</f>
        <v/>
      </c>
      <c r="K71" s="3">
        <f>IFERROR(IS_Flow!M36/IS_Flow!M33,"")</f>
        <v/>
      </c>
      <c r="L71" s="3">
        <f>IFERROR(IS_Flow!N36/IS_Flow!N33,"")</f>
        <v/>
      </c>
      <c r="M71" s="3">
        <f>IFERROR(IS_Flow!O36/IS_Flow!O33,"")</f>
        <v/>
      </c>
      <c r="N71" s="3">
        <f>IFERROR(IS_Flow!Q36/IS_Flow!Q33,"")</f>
        <v/>
      </c>
      <c r="O71" s="3">
        <f>IFERROR(IS_Flow!R36/IS_Flow!R33,"")</f>
        <v/>
      </c>
      <c r="P71" s="3">
        <f>IFERROR(IS_Flow!S36/IS_Flow!S33,"")</f>
        <v/>
      </c>
      <c r="Q71" s="3">
        <f>IFERROR(IS_Flow!T36/IS_Flow!T33,"")</f>
        <v/>
      </c>
      <c r="R71" s="3">
        <f>IFERROR(IS_Flow!V36/IS_Flow!V33,"")</f>
        <v/>
      </c>
      <c r="S71" s="3">
        <f>IFERROR(IS_Flow!W36/IS_Flow!W33,"")</f>
        <v/>
      </c>
      <c r="T71" s="3">
        <f>IFERROR(IS_Flow!X36/IS_Flow!X33,"")</f>
        <v/>
      </c>
      <c r="U71" s="3">
        <f>IFERROR(IS_Flow!Y36/IS_Flow!Y33,"")</f>
        <v/>
      </c>
    </row>
    <row r="72">
      <c r="A72" s="1" t="inlineStr">
        <is>
          <t>Gross Margin (%)</t>
        </is>
      </c>
      <c r="B72" s="3">
        <f>IFERROR((IS_Flow!B33-IS_Flow!B34-IS_Flow!B35)/(IS_Flow!B33-IS_Flow!B34),"")</f>
        <v/>
      </c>
      <c r="C72" s="3">
        <f>IFERROR((IS_Flow!C33-IS_Flow!C34-IS_Flow!C35)/(IS_Flow!C33-IS_Flow!C34),"")</f>
        <v/>
      </c>
      <c r="D72" s="3">
        <f>IFERROR((IS_Flow!D33-IS_Flow!D34-IS_Flow!D35)/(IS_Flow!D33-IS_Flow!D34),"")</f>
        <v/>
      </c>
      <c r="E72" s="3">
        <f>IFERROR((IS_Flow!E33-IS_Flow!E34-IS_Flow!E35)/(IS_Flow!E33-IS_Flow!E34),"")</f>
        <v/>
      </c>
      <c r="F72" s="3">
        <f>IFERROR((IS_Flow!G33-IS_Flow!G34-IS_Flow!G35)/(IS_Flow!G33-IS_Flow!G34),"")</f>
        <v/>
      </c>
      <c r="G72" s="3">
        <f>IFERROR((IS_Flow!H33-IS_Flow!H34-IS_Flow!H35)/(IS_Flow!H33-IS_Flow!H34),"")</f>
        <v/>
      </c>
      <c r="H72" s="3">
        <f>IFERROR((IS_Flow!I33-IS_Flow!I34-IS_Flow!I35)/(IS_Flow!I33-IS_Flow!I34),"")</f>
        <v/>
      </c>
      <c r="I72" s="3">
        <f>IFERROR((IS_Flow!J33-IS_Flow!J34-IS_Flow!J35)/(IS_Flow!J33-IS_Flow!J34),"")</f>
        <v/>
      </c>
      <c r="J72" s="3">
        <f>IFERROR((IS_Flow!L33-IS_Flow!L34-IS_Flow!L35)/(IS_Flow!L33-IS_Flow!L34),"")</f>
        <v/>
      </c>
      <c r="K72" s="3">
        <f>IFERROR((IS_Flow!M33-IS_Flow!M34-IS_Flow!M35)/(IS_Flow!M33-IS_Flow!M34),"")</f>
        <v/>
      </c>
      <c r="L72" s="3">
        <f>IFERROR((IS_Flow!N33-IS_Flow!N34-IS_Flow!N35)/(IS_Flow!N33-IS_Flow!N34),"")</f>
        <v/>
      </c>
      <c r="M72" s="3">
        <f>IFERROR((IS_Flow!O33-IS_Flow!O34-IS_Flow!O35)/(IS_Flow!O33-IS_Flow!O34),"")</f>
        <v/>
      </c>
      <c r="N72" s="3">
        <f>IFERROR((IS_Flow!Q33-IS_Flow!Q34-IS_Flow!Q35)/(IS_Flow!Q33-IS_Flow!Q34),"")</f>
        <v/>
      </c>
      <c r="O72" s="3">
        <f>IFERROR((IS_Flow!R33-IS_Flow!R34-IS_Flow!R35)/(IS_Flow!R33-IS_Flow!R34),"")</f>
        <v/>
      </c>
      <c r="P72" s="3">
        <f>IFERROR((IS_Flow!S33-IS_Flow!S34-IS_Flow!S35)/(IS_Flow!S33-IS_Flow!S34),"")</f>
        <v/>
      </c>
      <c r="Q72" s="3">
        <f>IFERROR((IS_Flow!T33-IS_Flow!T34-IS_Flow!T35)/(IS_Flow!T33-IS_Flow!T34),"")</f>
        <v/>
      </c>
      <c r="R72" s="3">
        <f>IFERROR((IS_Flow!V33-IS_Flow!V34-IS_Flow!V35)/(IS_Flow!V33-IS_Flow!V34),"")</f>
        <v/>
      </c>
      <c r="S72" s="3">
        <f>IFERROR((IS_Flow!W33-IS_Flow!W34-IS_Flow!W35)/(IS_Flow!W33-IS_Flow!W34),"")</f>
        <v/>
      </c>
      <c r="T72" s="3">
        <f>IFERROR((IS_Flow!X33-IS_Flow!X34-IS_Flow!X35)/(IS_Flow!X33-IS_Flow!X34),"")</f>
        <v/>
      </c>
      <c r="U72" s="3">
        <f>IFERROR((IS_Flow!Y33-IS_Flow!Y34-IS_Flow!Y35)/(IS_Flow!Y33-IS_Flow!Y34),"")</f>
        <v/>
      </c>
    </row>
    <row r="73">
      <c r="A73" s="1" t="inlineStr">
        <is>
          <t>DSO (วัน)</t>
        </is>
      </c>
      <c r="B73" s="4">
        <f>IFERROR(((BS_Timeline!B38+BS_Timeline!C38)/2)/IS_Flow!B33*90,"")</f>
        <v/>
      </c>
      <c r="C73" s="4">
        <f>IFERROR(((BS_Timeline!C38+BS_Timeline!D38)/2)/IS_Flow!C33*91,"")</f>
        <v/>
      </c>
      <c r="D73" s="4">
        <f>IFERROR(((BS_Timeline!D38+BS_Timeline!E38)/2)/IS_Flow!D33*92,"")</f>
        <v/>
      </c>
      <c r="E73" s="4">
        <f>IFERROR(((BS_Timeline!E38+BS_Timeline!F38)/2)/IS_Flow!E33*92,"")</f>
        <v/>
      </c>
      <c r="F73" s="4">
        <f>IFERROR(((BS_Timeline!F38+BS_Timeline!G38)/2)/IS_Flow!G33*90,"")</f>
        <v/>
      </c>
      <c r="G73" s="4">
        <f>IFERROR(((BS_Timeline!G38+BS_Timeline!H38)/2)/IS_Flow!H33*91,"")</f>
        <v/>
      </c>
      <c r="H73" s="4">
        <f>IFERROR(((BS_Timeline!H38+BS_Timeline!I38)/2)/IS_Flow!I33*92,"")</f>
        <v/>
      </c>
      <c r="I73" s="4">
        <f>IFERROR(((BS_Timeline!I38+BS_Timeline!J38)/2)/IS_Flow!J33*92,"")</f>
        <v/>
      </c>
      <c r="J73" s="4">
        <f>IFERROR(((BS_Timeline!J38+BS_Timeline!K38)/2)/IS_Flow!L33*90,"")</f>
        <v/>
      </c>
      <c r="K73" s="4">
        <f>IFERROR(((BS_Timeline!K38+BS_Timeline!L38)/2)/IS_Flow!M33*91,"")</f>
        <v/>
      </c>
      <c r="L73" s="4">
        <f>IFERROR(((BS_Timeline!L38+BS_Timeline!M38)/2)/IS_Flow!N33*92,"")</f>
        <v/>
      </c>
      <c r="M73" s="4">
        <f>IFERROR(((BS_Timeline!M38+BS_Timeline!N38)/2)/IS_Flow!O33*92,"")</f>
        <v/>
      </c>
      <c r="N73" s="4">
        <f>IFERROR(((BS_Timeline!N38+BS_Timeline!O38)/2)/IS_Flow!Q33*90,"")</f>
        <v/>
      </c>
      <c r="O73" s="4">
        <f>IFERROR(((BS_Timeline!O38+BS_Timeline!P38)/2)/IS_Flow!R33*91,"")</f>
        <v/>
      </c>
      <c r="P73" s="4">
        <f>IFERROR(((BS_Timeline!P38+BS_Timeline!Q38)/2)/IS_Flow!S33*92,"")</f>
        <v/>
      </c>
      <c r="Q73" s="4">
        <f>IFERROR(((BS_Timeline!Q38+BS_Timeline!R38)/2)/IS_Flow!T33*92,"")</f>
        <v/>
      </c>
      <c r="R73" s="4">
        <f>IFERROR(((BS_Timeline!R38+BS_Timeline!S38)/2)/IS_Flow!V33*90,"")</f>
        <v/>
      </c>
      <c r="S73" s="4">
        <f>IFERROR(((BS_Timeline!S38+BS_Timeline!T38)/2)/IS_Flow!W33*91,"")</f>
        <v/>
      </c>
      <c r="T73" s="4">
        <f>IFERROR(((BS_Timeline!T38+BS_Timeline!U38)/2)/IS_Flow!X33*92,"")</f>
        <v/>
      </c>
      <c r="U73" s="4">
        <f>IFERROR(((BS_Timeline!U38+BS_Timeline!V38)/2)/IS_Flow!Y33*92,"")</f>
        <v/>
      </c>
    </row>
    <row r="74">
      <c r="A74" s="1" t="inlineStr">
        <is>
          <t>DIO (วัน)</t>
        </is>
      </c>
      <c r="B74" s="4">
        <f>IFERROR(((BS_Timeline!B39+BS_Timeline!C39)/2)/IS_Flow!B35*90,"")</f>
        <v/>
      </c>
      <c r="C74" s="4">
        <f>IFERROR(((BS_Timeline!C39+BS_Timeline!D39)/2)/IS_Flow!C35*91,"")</f>
        <v/>
      </c>
      <c r="D74" s="4">
        <f>IFERROR(((BS_Timeline!D39+BS_Timeline!E39)/2)/IS_Flow!D35*92,"")</f>
        <v/>
      </c>
      <c r="E74" s="4">
        <f>IFERROR(((BS_Timeline!E39+BS_Timeline!F39)/2)/IS_Flow!E35*92,"")</f>
        <v/>
      </c>
      <c r="F74" s="4">
        <f>IFERROR(((BS_Timeline!F39+BS_Timeline!G39)/2)/IS_Flow!G35*90,"")</f>
        <v/>
      </c>
      <c r="G74" s="4">
        <f>IFERROR(((BS_Timeline!G39+BS_Timeline!H39)/2)/IS_Flow!H35*91,"")</f>
        <v/>
      </c>
      <c r="H74" s="4">
        <f>IFERROR(((BS_Timeline!H39+BS_Timeline!I39)/2)/IS_Flow!I35*92,"")</f>
        <v/>
      </c>
      <c r="I74" s="4">
        <f>IFERROR(((BS_Timeline!I39+BS_Timeline!J39)/2)/IS_Flow!J35*92,"")</f>
        <v/>
      </c>
      <c r="J74" s="4">
        <f>IFERROR(((BS_Timeline!J39+BS_Timeline!K39)/2)/IS_Flow!L35*90,"")</f>
        <v/>
      </c>
      <c r="K74" s="4">
        <f>IFERROR(((BS_Timeline!K39+BS_Timeline!L39)/2)/IS_Flow!M35*91,"")</f>
        <v/>
      </c>
      <c r="L74" s="4">
        <f>IFERROR(((BS_Timeline!L39+BS_Timeline!M39)/2)/IS_Flow!N35*92,"")</f>
        <v/>
      </c>
      <c r="M74" s="4">
        <f>IFERROR(((BS_Timeline!M39+BS_Timeline!N39)/2)/IS_Flow!O35*92,"")</f>
        <v/>
      </c>
      <c r="N74" s="4">
        <f>IFERROR(((BS_Timeline!N39+BS_Timeline!O39)/2)/IS_Flow!Q35*90,"")</f>
        <v/>
      </c>
      <c r="O74" s="4">
        <f>IFERROR(((BS_Timeline!O39+BS_Timeline!P39)/2)/IS_Flow!R35*91,"")</f>
        <v/>
      </c>
      <c r="P74" s="4">
        <f>IFERROR(((BS_Timeline!P39+BS_Timeline!Q39)/2)/IS_Flow!S35*92,"")</f>
        <v/>
      </c>
      <c r="Q74" s="4">
        <f>IFERROR(((BS_Timeline!Q39+BS_Timeline!R39)/2)/IS_Flow!T35*92,"")</f>
        <v/>
      </c>
      <c r="R74" s="4">
        <f>IFERROR(((BS_Timeline!R39+BS_Timeline!S39)/2)/IS_Flow!V35*90,"")</f>
        <v/>
      </c>
      <c r="S74" s="4">
        <f>IFERROR(((BS_Timeline!S39+BS_Timeline!T39)/2)/IS_Flow!W35*91,"")</f>
        <v/>
      </c>
      <c r="T74" s="4">
        <f>IFERROR(((BS_Timeline!T39+BS_Timeline!U39)/2)/IS_Flow!X35*92,"")</f>
        <v/>
      </c>
      <c r="U74" s="4">
        <f>IFERROR(((BS_Timeline!U39+BS_Timeline!V39)/2)/IS_Flow!Y35*92,"")</f>
        <v/>
      </c>
    </row>
    <row r="75">
      <c r="A75" s="1" t="inlineStr">
        <is>
          <t>DPO (วัน)</t>
        </is>
      </c>
      <c r="B75" s="4">
        <f>IFERROR(((BS_Timeline!B40+BS_Timeline!C40)/2)/IS_Flow!B35*90,"")</f>
        <v/>
      </c>
      <c r="C75" s="4">
        <f>IFERROR(((BS_Timeline!C40+BS_Timeline!D40)/2)/IS_Flow!C35*91,"")</f>
        <v/>
      </c>
      <c r="D75" s="4">
        <f>IFERROR(((BS_Timeline!D40+BS_Timeline!E40)/2)/IS_Flow!D35*92,"")</f>
        <v/>
      </c>
      <c r="E75" s="4">
        <f>IFERROR(((BS_Timeline!E40+BS_Timeline!F40)/2)/IS_Flow!E35*92,"")</f>
        <v/>
      </c>
      <c r="F75" s="4">
        <f>IFERROR(((BS_Timeline!F40+BS_Timeline!G40)/2)/IS_Flow!G35*90,"")</f>
        <v/>
      </c>
      <c r="G75" s="4">
        <f>IFERROR(((BS_Timeline!G40+BS_Timeline!H40)/2)/IS_Flow!H35*91,"")</f>
        <v/>
      </c>
      <c r="H75" s="4">
        <f>IFERROR(((BS_Timeline!H40+BS_Timeline!I40)/2)/IS_Flow!I35*92,"")</f>
        <v/>
      </c>
      <c r="I75" s="4">
        <f>IFERROR(((BS_Timeline!I40+BS_Timeline!J40)/2)/IS_Flow!J35*92,"")</f>
        <v/>
      </c>
      <c r="J75" s="4">
        <f>IFERROR(((BS_Timeline!J40+BS_Timeline!K40)/2)/IS_Flow!L35*90,"")</f>
        <v/>
      </c>
      <c r="K75" s="4">
        <f>IFERROR(((BS_Timeline!K40+BS_Timeline!L40)/2)/IS_Flow!M35*91,"")</f>
        <v/>
      </c>
      <c r="L75" s="4">
        <f>IFERROR(((BS_Timeline!L40+BS_Timeline!M40)/2)/IS_Flow!N35*92,"")</f>
        <v/>
      </c>
      <c r="M75" s="4">
        <f>IFERROR(((BS_Timeline!M40+BS_Timeline!N40)/2)/IS_Flow!O35*92,"")</f>
        <v/>
      </c>
      <c r="N75" s="4">
        <f>IFERROR(((BS_Timeline!N40+BS_Timeline!O40)/2)/IS_Flow!Q35*90,"")</f>
        <v/>
      </c>
      <c r="O75" s="4">
        <f>IFERROR(((BS_Timeline!O40+BS_Timeline!P40)/2)/IS_Flow!R35*91,"")</f>
        <v/>
      </c>
      <c r="P75" s="4">
        <f>IFERROR(((BS_Timeline!P40+BS_Timeline!Q40)/2)/IS_Flow!S35*92,"")</f>
        <v/>
      </c>
      <c r="Q75" s="4">
        <f>IFERROR(((BS_Timeline!Q40+BS_Timeline!R40)/2)/IS_Flow!T35*92,"")</f>
        <v/>
      </c>
      <c r="R75" s="4">
        <f>IFERROR(((BS_Timeline!R40+BS_Timeline!S40)/2)/IS_Flow!V35*90,"")</f>
        <v/>
      </c>
      <c r="S75" s="4">
        <f>IFERROR(((BS_Timeline!S40+BS_Timeline!T40)/2)/IS_Flow!W35*91,"")</f>
        <v/>
      </c>
      <c r="T75" s="4">
        <f>IFERROR(((BS_Timeline!T40+BS_Timeline!U40)/2)/IS_Flow!X35*92,"")</f>
        <v/>
      </c>
      <c r="U75" s="4">
        <f>IFERROR(((BS_Timeline!U40+BS_Timeline!V40)/2)/IS_Flow!Y35*92,"")</f>
        <v/>
      </c>
    </row>
    <row r="76">
      <c r="A76" s="1" t="inlineStr">
        <is>
          <t>CCC (วัน)</t>
        </is>
      </c>
      <c r="B76" s="4">
        <f>IFERROR(B73+B74-B75,"")</f>
        <v/>
      </c>
      <c r="C76" s="4">
        <f>IFERROR(C73+C74-C75,"")</f>
        <v/>
      </c>
      <c r="D76" s="4">
        <f>IFERROR(D73+D74-D75,"")</f>
        <v/>
      </c>
      <c r="E76" s="4">
        <f>IFERROR(E73+E74-E75,"")</f>
        <v/>
      </c>
      <c r="F76" s="4">
        <f>IFERROR(F73+F74-F75,"")</f>
        <v/>
      </c>
      <c r="G76" s="4">
        <f>IFERROR(G73+G74-G75,"")</f>
        <v/>
      </c>
      <c r="H76" s="4">
        <f>IFERROR(H73+H74-H75,"")</f>
        <v/>
      </c>
      <c r="I76" s="4">
        <f>IFERROR(I73+I74-I75,"")</f>
        <v/>
      </c>
      <c r="J76" s="4">
        <f>IFERROR(J73+J74-J75,"")</f>
        <v/>
      </c>
      <c r="K76" s="4">
        <f>IFERROR(K73+K74-K75,"")</f>
        <v/>
      </c>
      <c r="L76" s="4">
        <f>IFERROR(L73+L74-L75,"")</f>
        <v/>
      </c>
      <c r="M76" s="4">
        <f>IFERROR(M73+M74-M75,"")</f>
        <v/>
      </c>
      <c r="N76" s="4">
        <f>IFERROR(N73+N74-N75,"")</f>
        <v/>
      </c>
      <c r="O76" s="4">
        <f>IFERROR(O73+O74-O75,"")</f>
        <v/>
      </c>
      <c r="P76" s="4">
        <f>IFERROR(P73+P74-P75,"")</f>
        <v/>
      </c>
      <c r="Q76" s="4">
        <f>IFERROR(Q73+Q74-Q75,"")</f>
        <v/>
      </c>
      <c r="R76" s="4">
        <f>IFERROR(R73+R74-R75,"")</f>
        <v/>
      </c>
      <c r="S76" s="4">
        <f>IFERROR(S73+S74-S75,"")</f>
        <v/>
      </c>
      <c r="T76" s="4">
        <f>IFERROR(T73+T74-T75,"")</f>
        <v/>
      </c>
      <c r="U76" s="4">
        <f>IFERROR(U73+U74-U75,"")</f>
        <v/>
      </c>
    </row>
    <row r="77">
      <c r="A77" s="1" t="inlineStr">
        <is>
          <t>ROA รายไตรมาส (%)</t>
        </is>
      </c>
      <c r="B77" s="3">
        <f>IFERROR(IS_Flow!B36/((BS_Timeline!B41+BS_Timeline!C41)/2),"")</f>
        <v/>
      </c>
      <c r="C77" s="3">
        <f>IFERROR(IS_Flow!C36/((BS_Timeline!C41+BS_Timeline!D41)/2),"")</f>
        <v/>
      </c>
      <c r="D77" s="3">
        <f>IFERROR(IS_Flow!D36/((BS_Timeline!D41+BS_Timeline!E41)/2),"")</f>
        <v/>
      </c>
      <c r="E77" s="3">
        <f>IFERROR(IS_Flow!E36/((BS_Timeline!E41+BS_Timeline!F41)/2),"")</f>
        <v/>
      </c>
      <c r="F77" s="3">
        <f>IFERROR(IS_Flow!G36/((BS_Timeline!F41+BS_Timeline!G41)/2),"")</f>
        <v/>
      </c>
      <c r="G77" s="3">
        <f>IFERROR(IS_Flow!H36/((BS_Timeline!G41+BS_Timeline!H41)/2),"")</f>
        <v/>
      </c>
      <c r="H77" s="3">
        <f>IFERROR(IS_Flow!I36/((BS_Timeline!H41+BS_Timeline!I41)/2),"")</f>
        <v/>
      </c>
      <c r="I77" s="3">
        <f>IFERROR(IS_Flow!J36/((BS_Timeline!I41+BS_Timeline!J41)/2),"")</f>
        <v/>
      </c>
      <c r="J77" s="3">
        <f>IFERROR(IS_Flow!L36/((BS_Timeline!J41+BS_Timeline!K41)/2),"")</f>
        <v/>
      </c>
      <c r="K77" s="3">
        <f>IFERROR(IS_Flow!M36/((BS_Timeline!K41+BS_Timeline!L41)/2),"")</f>
        <v/>
      </c>
      <c r="L77" s="3">
        <f>IFERROR(IS_Flow!N36/((BS_Timeline!L41+BS_Timeline!M41)/2),"")</f>
        <v/>
      </c>
      <c r="M77" s="3">
        <f>IFERROR(IS_Flow!O36/((BS_Timeline!M41+BS_Timeline!N41)/2),"")</f>
        <v/>
      </c>
      <c r="N77" s="3">
        <f>IFERROR(IS_Flow!Q36/((BS_Timeline!N41+BS_Timeline!O41)/2),"")</f>
        <v/>
      </c>
      <c r="O77" s="3">
        <f>IFERROR(IS_Flow!R36/((BS_Timeline!O41+BS_Timeline!P41)/2),"")</f>
        <v/>
      </c>
      <c r="P77" s="3">
        <f>IFERROR(IS_Flow!S36/((BS_Timeline!P41+BS_Timeline!Q41)/2),"")</f>
        <v/>
      </c>
      <c r="Q77" s="3">
        <f>IFERROR(IS_Flow!T36/((BS_Timeline!Q41+BS_Timeline!R41)/2),"")</f>
        <v/>
      </c>
      <c r="R77" s="3">
        <f>IFERROR(IS_Flow!V36/((BS_Timeline!R41+BS_Timeline!S41)/2),"")</f>
        <v/>
      </c>
      <c r="S77" s="3">
        <f>IFERROR(IS_Flow!W36/((BS_Timeline!S41+BS_Timeline!T41)/2),"")</f>
        <v/>
      </c>
      <c r="T77" s="3">
        <f>IFERROR(IS_Flow!X36/((BS_Timeline!T41+BS_Timeline!U41)/2),"")</f>
        <v/>
      </c>
      <c r="U77" s="3">
        <f>IFERROR(IS_Flow!Y36/((BS_Timeline!U41+BS_Timeline!V41)/2),"")</f>
        <v/>
      </c>
    </row>
    <row r="78">
      <c r="A78" s="1" t="inlineStr">
        <is>
          <t>ROE รายไตรมาส (%)</t>
        </is>
      </c>
      <c r="B78" s="3">
        <f>IFERROR(IS_Flow!B36/((BS_Timeline!B42+BS_Timeline!C42)/2),"")</f>
        <v/>
      </c>
      <c r="C78" s="3">
        <f>IFERROR(IS_Flow!C36/((BS_Timeline!C42+BS_Timeline!D42)/2),"")</f>
        <v/>
      </c>
      <c r="D78" s="3">
        <f>IFERROR(IS_Flow!D36/((BS_Timeline!D42+BS_Timeline!E42)/2),"")</f>
        <v/>
      </c>
      <c r="E78" s="3">
        <f>IFERROR(IS_Flow!E36/((BS_Timeline!E42+BS_Timeline!F42)/2),"")</f>
        <v/>
      </c>
      <c r="F78" s="3">
        <f>IFERROR(IS_Flow!G36/((BS_Timeline!F42+BS_Timeline!G42)/2),"")</f>
        <v/>
      </c>
      <c r="G78" s="3">
        <f>IFERROR(IS_Flow!H36/((BS_Timeline!G42+BS_Timeline!H42)/2),"")</f>
        <v/>
      </c>
      <c r="H78" s="3">
        <f>IFERROR(IS_Flow!I36/((BS_Timeline!H42+BS_Timeline!I42)/2),"")</f>
        <v/>
      </c>
      <c r="I78" s="3">
        <f>IFERROR(IS_Flow!J36/((BS_Timeline!I42+BS_Timeline!J42)/2),"")</f>
        <v/>
      </c>
      <c r="J78" s="3">
        <f>IFERROR(IS_Flow!L36/((BS_Timeline!J42+BS_Timeline!K42)/2),"")</f>
        <v/>
      </c>
      <c r="K78" s="3">
        <f>IFERROR(IS_Flow!M36/((BS_Timeline!K42+BS_Timeline!L42)/2),"")</f>
        <v/>
      </c>
      <c r="L78" s="3">
        <f>IFERROR(IS_Flow!N36/((BS_Timeline!L42+BS_Timeline!M42)/2),"")</f>
        <v/>
      </c>
      <c r="M78" s="3">
        <f>IFERROR(IS_Flow!O36/((BS_Timeline!M42+BS_Timeline!N42)/2),"")</f>
        <v/>
      </c>
      <c r="N78" s="3">
        <f>IFERROR(IS_Flow!Q36/((BS_Timeline!N42+BS_Timeline!O42)/2),"")</f>
        <v/>
      </c>
      <c r="O78" s="3">
        <f>IFERROR(IS_Flow!R36/((BS_Timeline!O42+BS_Timeline!P42)/2),"")</f>
        <v/>
      </c>
      <c r="P78" s="3">
        <f>IFERROR(IS_Flow!S36/((BS_Timeline!P42+BS_Timeline!Q42)/2),"")</f>
        <v/>
      </c>
      <c r="Q78" s="3">
        <f>IFERROR(IS_Flow!T36/((BS_Timeline!Q42+BS_Timeline!R42)/2),"")</f>
        <v/>
      </c>
      <c r="R78" s="3">
        <f>IFERROR(IS_Flow!V36/((BS_Timeline!R42+BS_Timeline!S42)/2),"")</f>
        <v/>
      </c>
      <c r="S78" s="3">
        <f>IFERROR(IS_Flow!W36/((BS_Timeline!S42+BS_Timeline!T42)/2),"")</f>
        <v/>
      </c>
      <c r="T78" s="3">
        <f>IFERROR(IS_Flow!X36/((BS_Timeline!T42+BS_Timeline!U42)/2),"")</f>
        <v/>
      </c>
      <c r="U78" s="3">
        <f>IFERROR(IS_Flow!Y36/((BS_Timeline!U42+BS_Timeline!V42)/2),"")</f>
        <v/>
      </c>
    </row>
    <row r="79">
      <c r="A79" s="1" t="inlineStr">
        <is>
          <t>D/E (เท่า)</t>
        </is>
      </c>
      <c r="B79" s="4">
        <f>IFERROR(BS_Timeline!C43/BS_Timeline!C42,"")</f>
        <v/>
      </c>
      <c r="C79" s="4">
        <f>IFERROR(BS_Timeline!D43/BS_Timeline!D42,"")</f>
        <v/>
      </c>
      <c r="D79" s="4">
        <f>IFERROR(BS_Timeline!E43/BS_Timeline!E42,"")</f>
        <v/>
      </c>
      <c r="E79" s="4">
        <f>IFERROR(BS_Timeline!F43/BS_Timeline!F42,"")</f>
        <v/>
      </c>
      <c r="F79" s="4">
        <f>IFERROR(BS_Timeline!G43/BS_Timeline!G42,"")</f>
        <v/>
      </c>
      <c r="G79" s="4">
        <f>IFERROR(BS_Timeline!H43/BS_Timeline!H42,"")</f>
        <v/>
      </c>
      <c r="H79" s="4">
        <f>IFERROR(BS_Timeline!I43/BS_Timeline!I42,"")</f>
        <v/>
      </c>
      <c r="I79" s="4">
        <f>IFERROR(BS_Timeline!J43/BS_Timeline!J42,"")</f>
        <v/>
      </c>
      <c r="J79" s="4">
        <f>IFERROR(BS_Timeline!K43/BS_Timeline!K42,"")</f>
        <v/>
      </c>
      <c r="K79" s="4">
        <f>IFERROR(BS_Timeline!L43/BS_Timeline!L42,"")</f>
        <v/>
      </c>
      <c r="L79" s="4">
        <f>IFERROR(BS_Timeline!M43/BS_Timeline!M42,"")</f>
        <v/>
      </c>
      <c r="M79" s="4">
        <f>IFERROR(BS_Timeline!N43/BS_Timeline!N42,"")</f>
        <v/>
      </c>
      <c r="N79" s="4">
        <f>IFERROR(BS_Timeline!O43/BS_Timeline!O42,"")</f>
        <v/>
      </c>
      <c r="O79" s="4">
        <f>IFERROR(BS_Timeline!P43/BS_Timeline!P42,"")</f>
        <v/>
      </c>
      <c r="P79" s="4">
        <f>IFERROR(BS_Timeline!Q43/BS_Timeline!Q42,"")</f>
        <v/>
      </c>
      <c r="Q79" s="4">
        <f>IFERROR(BS_Timeline!R43/BS_Timeline!R42,"")</f>
        <v/>
      </c>
      <c r="R79" s="4">
        <f>IFERROR(BS_Timeline!S43/BS_Timeline!S42,"")</f>
        <v/>
      </c>
      <c r="S79" s="4">
        <f>IFERROR(BS_Timeline!T43/BS_Timeline!T42,"")</f>
        <v/>
      </c>
      <c r="T79" s="4">
        <f>IFERROR(BS_Timeline!U43/BS_Timeline!U42,"")</f>
        <v/>
      </c>
      <c r="U79" s="4">
        <f>IFERROR(BS_Timeline!V43/BS_Timeline!V42,"")</f>
        <v/>
      </c>
    </row>
    <row r="80">
      <c r="A80" s="7" t="inlineStr">
        <is>
          <t>■ OHTL</t>
        </is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1" t="inlineStr">
        <is>
          <t>รายได้รวม (ล้านบาท)</t>
        </is>
      </c>
      <c r="B81" s="4">
        <f>IS_Flow!B39</f>
        <v/>
      </c>
      <c r="C81" s="4">
        <f>IS_Flow!C39</f>
        <v/>
      </c>
      <c r="D81" s="4">
        <f>IS_Flow!D39</f>
        <v/>
      </c>
      <c r="E81" s="4">
        <f>IS_Flow!E39</f>
        <v/>
      </c>
      <c r="F81" s="4">
        <f>IS_Flow!G39</f>
        <v/>
      </c>
      <c r="G81" s="4">
        <f>IS_Flow!H39</f>
        <v/>
      </c>
      <c r="H81" s="4">
        <f>IS_Flow!I39</f>
        <v/>
      </c>
      <c r="I81" s="4">
        <f>IS_Flow!J39</f>
        <v/>
      </c>
      <c r="J81" s="4">
        <f>IS_Flow!L39</f>
        <v/>
      </c>
      <c r="K81" s="4">
        <f>IS_Flow!M39</f>
        <v/>
      </c>
      <c r="L81" s="4">
        <f>IS_Flow!N39</f>
        <v/>
      </c>
      <c r="M81" s="4">
        <f>IS_Flow!O39</f>
        <v/>
      </c>
      <c r="N81" s="4">
        <f>IS_Flow!Q39</f>
        <v/>
      </c>
      <c r="O81" s="4">
        <f>IS_Flow!R39</f>
        <v/>
      </c>
      <c r="P81" s="4">
        <f>IS_Flow!S39</f>
        <v/>
      </c>
      <c r="Q81" s="4">
        <f>IS_Flow!T39</f>
        <v/>
      </c>
      <c r="R81" s="4">
        <f>IS_Flow!V39</f>
        <v/>
      </c>
      <c r="S81" s="4">
        <f>IS_Flow!W39</f>
        <v/>
      </c>
      <c r="T81" s="4">
        <f>IS_Flow!X39</f>
        <v/>
      </c>
      <c r="U81" s="4">
        <f>IS_Flow!Y39</f>
        <v/>
      </c>
    </row>
    <row r="82">
      <c r="A82" s="1" t="inlineStr">
        <is>
          <t>ต้นทุนขาย (ล้านบาท)</t>
        </is>
      </c>
      <c r="B82" s="4">
        <f>IS_Flow!B41</f>
        <v/>
      </c>
      <c r="C82" s="4">
        <f>IS_Flow!C41</f>
        <v/>
      </c>
      <c r="D82" s="4">
        <f>IS_Flow!D41</f>
        <v/>
      </c>
      <c r="E82" s="4">
        <f>IS_Flow!E41</f>
        <v/>
      </c>
      <c r="F82" s="4">
        <f>IS_Flow!G41</f>
        <v/>
      </c>
      <c r="G82" s="4">
        <f>IS_Flow!H41</f>
        <v/>
      </c>
      <c r="H82" s="4">
        <f>IS_Flow!I41</f>
        <v/>
      </c>
      <c r="I82" s="4">
        <f>IS_Flow!J41</f>
        <v/>
      </c>
      <c r="J82" s="4">
        <f>IS_Flow!L41</f>
        <v/>
      </c>
      <c r="K82" s="4">
        <f>IS_Flow!M41</f>
        <v/>
      </c>
      <c r="L82" s="4">
        <f>IS_Flow!N41</f>
        <v/>
      </c>
      <c r="M82" s="4">
        <f>IS_Flow!O41</f>
        <v/>
      </c>
      <c r="N82" s="4">
        <f>IS_Flow!Q41</f>
        <v/>
      </c>
      <c r="O82" s="4">
        <f>IS_Flow!R41</f>
        <v/>
      </c>
      <c r="P82" s="4">
        <f>IS_Flow!S41</f>
        <v/>
      </c>
      <c r="Q82" s="4">
        <f>IS_Flow!T41</f>
        <v/>
      </c>
      <c r="R82" s="4">
        <f>IS_Flow!V41</f>
        <v/>
      </c>
      <c r="S82" s="4">
        <f>IS_Flow!W41</f>
        <v/>
      </c>
      <c r="T82" s="4">
        <f>IS_Flow!X41</f>
        <v/>
      </c>
      <c r="U82" s="4">
        <f>IS_Flow!Y41</f>
        <v/>
      </c>
    </row>
    <row r="83">
      <c r="A83" s="1" t="inlineStr">
        <is>
          <t>กำไรสุทธิ (ล้านบาท)</t>
        </is>
      </c>
      <c r="B83" s="4">
        <f>IS_Flow!B42</f>
        <v/>
      </c>
      <c r="C83" s="4">
        <f>IS_Flow!C42</f>
        <v/>
      </c>
      <c r="D83" s="4">
        <f>IS_Flow!D42</f>
        <v/>
      </c>
      <c r="E83" s="4">
        <f>IS_Flow!E42</f>
        <v/>
      </c>
      <c r="F83" s="4">
        <f>IS_Flow!G42</f>
        <v/>
      </c>
      <c r="G83" s="4">
        <f>IS_Flow!H42</f>
        <v/>
      </c>
      <c r="H83" s="4">
        <f>IS_Flow!I42</f>
        <v/>
      </c>
      <c r="I83" s="4">
        <f>IS_Flow!J42</f>
        <v/>
      </c>
      <c r="J83" s="4">
        <f>IS_Flow!L42</f>
        <v/>
      </c>
      <c r="K83" s="4">
        <f>IS_Flow!M42</f>
        <v/>
      </c>
      <c r="L83" s="4">
        <f>IS_Flow!N42</f>
        <v/>
      </c>
      <c r="M83" s="4">
        <f>IS_Flow!O42</f>
        <v/>
      </c>
      <c r="N83" s="4">
        <f>IS_Flow!Q42</f>
        <v/>
      </c>
      <c r="O83" s="4">
        <f>IS_Flow!R42</f>
        <v/>
      </c>
      <c r="P83" s="4">
        <f>IS_Flow!S42</f>
        <v/>
      </c>
      <c r="Q83" s="4">
        <f>IS_Flow!T42</f>
        <v/>
      </c>
      <c r="R83" s="4">
        <f>IS_Flow!V42</f>
        <v/>
      </c>
      <c r="S83" s="4">
        <f>IS_Flow!W42</f>
        <v/>
      </c>
      <c r="T83" s="4">
        <f>IS_Flow!X42</f>
        <v/>
      </c>
      <c r="U83" s="4">
        <f>IS_Flow!Y42</f>
        <v/>
      </c>
    </row>
    <row r="84">
      <c r="A84" s="1" t="inlineStr">
        <is>
          <t>NPM (%)</t>
        </is>
      </c>
      <c r="B84" s="3">
        <f>IFERROR(IS_Flow!B42/IS_Flow!B39,"")</f>
        <v/>
      </c>
      <c r="C84" s="3">
        <f>IFERROR(IS_Flow!C42/IS_Flow!C39,"")</f>
        <v/>
      </c>
      <c r="D84" s="3">
        <f>IFERROR(IS_Flow!D42/IS_Flow!D39,"")</f>
        <v/>
      </c>
      <c r="E84" s="3">
        <f>IFERROR(IS_Flow!E42/IS_Flow!E39,"")</f>
        <v/>
      </c>
      <c r="F84" s="3">
        <f>IFERROR(IS_Flow!G42/IS_Flow!G39,"")</f>
        <v/>
      </c>
      <c r="G84" s="3">
        <f>IFERROR(IS_Flow!H42/IS_Flow!H39,"")</f>
        <v/>
      </c>
      <c r="H84" s="3">
        <f>IFERROR(IS_Flow!I42/IS_Flow!I39,"")</f>
        <v/>
      </c>
      <c r="I84" s="3">
        <f>IFERROR(IS_Flow!J42/IS_Flow!J39,"")</f>
        <v/>
      </c>
      <c r="J84" s="3">
        <f>IFERROR(IS_Flow!L42/IS_Flow!L39,"")</f>
        <v/>
      </c>
      <c r="K84" s="3">
        <f>IFERROR(IS_Flow!M42/IS_Flow!M39,"")</f>
        <v/>
      </c>
      <c r="L84" s="3">
        <f>IFERROR(IS_Flow!N42/IS_Flow!N39,"")</f>
        <v/>
      </c>
      <c r="M84" s="3">
        <f>IFERROR(IS_Flow!O42/IS_Flow!O39,"")</f>
        <v/>
      </c>
      <c r="N84" s="3">
        <f>IFERROR(IS_Flow!Q42/IS_Flow!Q39,"")</f>
        <v/>
      </c>
      <c r="O84" s="3">
        <f>IFERROR(IS_Flow!R42/IS_Flow!R39,"")</f>
        <v/>
      </c>
      <c r="P84" s="3">
        <f>IFERROR(IS_Flow!S42/IS_Flow!S39,"")</f>
        <v/>
      </c>
      <c r="Q84" s="3">
        <f>IFERROR(IS_Flow!T42/IS_Flow!T39,"")</f>
        <v/>
      </c>
      <c r="R84" s="3">
        <f>IFERROR(IS_Flow!V42/IS_Flow!V39,"")</f>
        <v/>
      </c>
      <c r="S84" s="3">
        <f>IFERROR(IS_Flow!W42/IS_Flow!W39,"")</f>
        <v/>
      </c>
      <c r="T84" s="3">
        <f>IFERROR(IS_Flow!X42/IS_Flow!X39,"")</f>
        <v/>
      </c>
      <c r="U84" s="3">
        <f>IFERROR(IS_Flow!Y42/IS_Flow!Y39,"")</f>
        <v/>
      </c>
    </row>
    <row r="85">
      <c r="A85" s="1" t="inlineStr">
        <is>
          <t>Gross Margin (%)</t>
        </is>
      </c>
      <c r="B85" s="3">
        <f>IFERROR((IS_Flow!B39-IS_Flow!B40-IS_Flow!B41)/(IS_Flow!B39-IS_Flow!B40),"")</f>
        <v/>
      </c>
      <c r="C85" s="3">
        <f>IFERROR((IS_Flow!C39-IS_Flow!C40-IS_Flow!C41)/(IS_Flow!C39-IS_Flow!C40),"")</f>
        <v/>
      </c>
      <c r="D85" s="3">
        <f>IFERROR((IS_Flow!D39-IS_Flow!D40-IS_Flow!D41)/(IS_Flow!D39-IS_Flow!D40),"")</f>
        <v/>
      </c>
      <c r="E85" s="3">
        <f>IFERROR((IS_Flow!E39-IS_Flow!E40-IS_Flow!E41)/(IS_Flow!E39-IS_Flow!E40),"")</f>
        <v/>
      </c>
      <c r="F85" s="3">
        <f>IFERROR((IS_Flow!G39-IS_Flow!G40-IS_Flow!G41)/(IS_Flow!G39-IS_Flow!G40),"")</f>
        <v/>
      </c>
      <c r="G85" s="3">
        <f>IFERROR((IS_Flow!H39-IS_Flow!H40-IS_Flow!H41)/(IS_Flow!H39-IS_Flow!H40),"")</f>
        <v/>
      </c>
      <c r="H85" s="3">
        <f>IFERROR((IS_Flow!I39-IS_Flow!I40-IS_Flow!I41)/(IS_Flow!I39-IS_Flow!I40),"")</f>
        <v/>
      </c>
      <c r="I85" s="3">
        <f>IFERROR((IS_Flow!J39-IS_Flow!J40-IS_Flow!J41)/(IS_Flow!J39-IS_Flow!J40),"")</f>
        <v/>
      </c>
      <c r="J85" s="3">
        <f>IFERROR((IS_Flow!L39-IS_Flow!L40-IS_Flow!L41)/(IS_Flow!L39-IS_Flow!L40),"")</f>
        <v/>
      </c>
      <c r="K85" s="3">
        <f>IFERROR((IS_Flow!M39-IS_Flow!M40-IS_Flow!M41)/(IS_Flow!M39-IS_Flow!M40),"")</f>
        <v/>
      </c>
      <c r="L85" s="3">
        <f>IFERROR((IS_Flow!N39-IS_Flow!N40-IS_Flow!N41)/(IS_Flow!N39-IS_Flow!N40),"")</f>
        <v/>
      </c>
      <c r="M85" s="3">
        <f>IFERROR((IS_Flow!O39-IS_Flow!O40-IS_Flow!O41)/(IS_Flow!O39-IS_Flow!O40),"")</f>
        <v/>
      </c>
      <c r="N85" s="3">
        <f>IFERROR((IS_Flow!Q39-IS_Flow!Q40-IS_Flow!Q41)/(IS_Flow!Q39-IS_Flow!Q40),"")</f>
        <v/>
      </c>
      <c r="O85" s="3">
        <f>IFERROR((IS_Flow!R39-IS_Flow!R40-IS_Flow!R41)/(IS_Flow!R39-IS_Flow!R40),"")</f>
        <v/>
      </c>
      <c r="P85" s="3">
        <f>IFERROR((IS_Flow!S39-IS_Flow!S40-IS_Flow!S41)/(IS_Flow!S39-IS_Flow!S40),"")</f>
        <v/>
      </c>
      <c r="Q85" s="3">
        <f>IFERROR((IS_Flow!T39-IS_Flow!T40-IS_Flow!T41)/(IS_Flow!T39-IS_Flow!T40),"")</f>
        <v/>
      </c>
      <c r="R85" s="3">
        <f>IFERROR((IS_Flow!V39-IS_Flow!V40-IS_Flow!V41)/(IS_Flow!V39-IS_Flow!V40),"")</f>
        <v/>
      </c>
      <c r="S85" s="3">
        <f>IFERROR((IS_Flow!W39-IS_Flow!W40-IS_Flow!W41)/(IS_Flow!W39-IS_Flow!W40),"")</f>
        <v/>
      </c>
      <c r="T85" s="3">
        <f>IFERROR((IS_Flow!X39-IS_Flow!X40-IS_Flow!X41)/(IS_Flow!X39-IS_Flow!X40),"")</f>
        <v/>
      </c>
      <c r="U85" s="3">
        <f>IFERROR((IS_Flow!Y39-IS_Flow!Y40-IS_Flow!Y41)/(IS_Flow!Y39-IS_Flow!Y40),"")</f>
        <v/>
      </c>
    </row>
    <row r="86">
      <c r="A86" s="1" t="inlineStr">
        <is>
          <t>DSO (วัน)</t>
        </is>
      </c>
      <c r="B86" s="4">
        <f>IFERROR(((BS_Timeline!B45+BS_Timeline!C45)/2)/IS_Flow!B39*90,"")</f>
        <v/>
      </c>
      <c r="C86" s="4">
        <f>IFERROR(((BS_Timeline!C45+BS_Timeline!D45)/2)/IS_Flow!C39*91,"")</f>
        <v/>
      </c>
      <c r="D86" s="4">
        <f>IFERROR(((BS_Timeline!D45+BS_Timeline!E45)/2)/IS_Flow!D39*92,"")</f>
        <v/>
      </c>
      <c r="E86" s="4">
        <f>IFERROR(((BS_Timeline!E45+BS_Timeline!F45)/2)/IS_Flow!E39*92,"")</f>
        <v/>
      </c>
      <c r="F86" s="4">
        <f>IFERROR(((BS_Timeline!F45+BS_Timeline!G45)/2)/IS_Flow!G39*90,"")</f>
        <v/>
      </c>
      <c r="G86" s="4">
        <f>IFERROR(((BS_Timeline!G45+BS_Timeline!H45)/2)/IS_Flow!H39*91,"")</f>
        <v/>
      </c>
      <c r="H86" s="4">
        <f>IFERROR(((BS_Timeline!H45+BS_Timeline!I45)/2)/IS_Flow!I39*92,"")</f>
        <v/>
      </c>
      <c r="I86" s="4">
        <f>IFERROR(((BS_Timeline!I45+BS_Timeline!J45)/2)/IS_Flow!J39*92,"")</f>
        <v/>
      </c>
      <c r="J86" s="4">
        <f>IFERROR(((BS_Timeline!J45+BS_Timeline!K45)/2)/IS_Flow!L39*90,"")</f>
        <v/>
      </c>
      <c r="K86" s="4">
        <f>IFERROR(((BS_Timeline!K45+BS_Timeline!L45)/2)/IS_Flow!M39*91,"")</f>
        <v/>
      </c>
      <c r="L86" s="4">
        <f>IFERROR(((BS_Timeline!L45+BS_Timeline!M45)/2)/IS_Flow!N39*92,"")</f>
        <v/>
      </c>
      <c r="M86" s="4">
        <f>IFERROR(((BS_Timeline!M45+BS_Timeline!N45)/2)/IS_Flow!O39*92,"")</f>
        <v/>
      </c>
      <c r="N86" s="4">
        <f>IFERROR(((BS_Timeline!N45+BS_Timeline!O45)/2)/IS_Flow!Q39*90,"")</f>
        <v/>
      </c>
      <c r="O86" s="4">
        <f>IFERROR(((BS_Timeline!O45+BS_Timeline!P45)/2)/IS_Flow!R39*91,"")</f>
        <v/>
      </c>
      <c r="P86" s="4">
        <f>IFERROR(((BS_Timeline!P45+BS_Timeline!Q45)/2)/IS_Flow!S39*92,"")</f>
        <v/>
      </c>
      <c r="Q86" s="4">
        <f>IFERROR(((BS_Timeline!Q45+BS_Timeline!R45)/2)/IS_Flow!T39*92,"")</f>
        <v/>
      </c>
      <c r="R86" s="4">
        <f>IFERROR(((BS_Timeline!R45+BS_Timeline!S45)/2)/IS_Flow!V39*90,"")</f>
        <v/>
      </c>
      <c r="S86" s="4">
        <f>IFERROR(((BS_Timeline!S45+BS_Timeline!T45)/2)/IS_Flow!W39*91,"")</f>
        <v/>
      </c>
      <c r="T86" s="4">
        <f>IFERROR(((BS_Timeline!T45+BS_Timeline!U45)/2)/IS_Flow!X39*92,"")</f>
        <v/>
      </c>
      <c r="U86" s="4">
        <f>IFERROR(((BS_Timeline!U45+BS_Timeline!V45)/2)/IS_Flow!Y39*92,"")</f>
        <v/>
      </c>
    </row>
    <row r="87">
      <c r="A87" s="1" t="inlineStr">
        <is>
          <t>DIO (วัน)</t>
        </is>
      </c>
      <c r="B87" s="4">
        <f>IFERROR(((BS_Timeline!B46+BS_Timeline!C46)/2)/IS_Flow!B41*90,"")</f>
        <v/>
      </c>
      <c r="C87" s="4">
        <f>IFERROR(((BS_Timeline!C46+BS_Timeline!D46)/2)/IS_Flow!C41*91,"")</f>
        <v/>
      </c>
      <c r="D87" s="4">
        <f>IFERROR(((BS_Timeline!D46+BS_Timeline!E46)/2)/IS_Flow!D41*92,"")</f>
        <v/>
      </c>
      <c r="E87" s="4">
        <f>IFERROR(((BS_Timeline!E46+BS_Timeline!F46)/2)/IS_Flow!E41*92,"")</f>
        <v/>
      </c>
      <c r="F87" s="4">
        <f>IFERROR(((BS_Timeline!F46+BS_Timeline!G46)/2)/IS_Flow!G41*90,"")</f>
        <v/>
      </c>
      <c r="G87" s="4">
        <f>IFERROR(((BS_Timeline!G46+BS_Timeline!H46)/2)/IS_Flow!H41*91,"")</f>
        <v/>
      </c>
      <c r="H87" s="4">
        <f>IFERROR(((BS_Timeline!H46+BS_Timeline!I46)/2)/IS_Flow!I41*92,"")</f>
        <v/>
      </c>
      <c r="I87" s="4">
        <f>IFERROR(((BS_Timeline!I46+BS_Timeline!J46)/2)/IS_Flow!J41*92,"")</f>
        <v/>
      </c>
      <c r="J87" s="4">
        <f>IFERROR(((BS_Timeline!J46+BS_Timeline!K46)/2)/IS_Flow!L41*90,"")</f>
        <v/>
      </c>
      <c r="K87" s="4">
        <f>IFERROR(((BS_Timeline!K46+BS_Timeline!L46)/2)/IS_Flow!M41*91,"")</f>
        <v/>
      </c>
      <c r="L87" s="4">
        <f>IFERROR(((BS_Timeline!L46+BS_Timeline!M46)/2)/IS_Flow!N41*92,"")</f>
        <v/>
      </c>
      <c r="M87" s="4">
        <f>IFERROR(((BS_Timeline!M46+BS_Timeline!N46)/2)/IS_Flow!O41*92,"")</f>
        <v/>
      </c>
      <c r="N87" s="4">
        <f>IFERROR(((BS_Timeline!N46+BS_Timeline!O46)/2)/IS_Flow!Q41*90,"")</f>
        <v/>
      </c>
      <c r="O87" s="4">
        <f>IFERROR(((BS_Timeline!O46+BS_Timeline!P46)/2)/IS_Flow!R41*91,"")</f>
        <v/>
      </c>
      <c r="P87" s="4">
        <f>IFERROR(((BS_Timeline!P46+BS_Timeline!Q46)/2)/IS_Flow!S41*92,"")</f>
        <v/>
      </c>
      <c r="Q87" s="4">
        <f>IFERROR(((BS_Timeline!Q46+BS_Timeline!R46)/2)/IS_Flow!T41*92,"")</f>
        <v/>
      </c>
      <c r="R87" s="4">
        <f>IFERROR(((BS_Timeline!R46+BS_Timeline!S46)/2)/IS_Flow!V41*90,"")</f>
        <v/>
      </c>
      <c r="S87" s="4">
        <f>IFERROR(((BS_Timeline!S46+BS_Timeline!T46)/2)/IS_Flow!W41*91,"")</f>
        <v/>
      </c>
      <c r="T87" s="4">
        <f>IFERROR(((BS_Timeline!T46+BS_Timeline!U46)/2)/IS_Flow!X41*92,"")</f>
        <v/>
      </c>
      <c r="U87" s="4">
        <f>IFERROR(((BS_Timeline!U46+BS_Timeline!V46)/2)/IS_Flow!Y41*92,"")</f>
        <v/>
      </c>
    </row>
    <row r="88">
      <c r="A88" s="1" t="inlineStr">
        <is>
          <t>DPO (วัน)</t>
        </is>
      </c>
      <c r="B88" s="4">
        <f>IFERROR(((BS_Timeline!B47+BS_Timeline!C47)/2)/IS_Flow!B41*90,"")</f>
        <v/>
      </c>
      <c r="C88" s="4">
        <f>IFERROR(((BS_Timeline!C47+BS_Timeline!D47)/2)/IS_Flow!C41*91,"")</f>
        <v/>
      </c>
      <c r="D88" s="4">
        <f>IFERROR(((BS_Timeline!D47+BS_Timeline!E47)/2)/IS_Flow!D41*92,"")</f>
        <v/>
      </c>
      <c r="E88" s="4">
        <f>IFERROR(((BS_Timeline!E47+BS_Timeline!F47)/2)/IS_Flow!E41*92,"")</f>
        <v/>
      </c>
      <c r="F88" s="4">
        <f>IFERROR(((BS_Timeline!F47+BS_Timeline!G47)/2)/IS_Flow!G41*90,"")</f>
        <v/>
      </c>
      <c r="G88" s="4">
        <f>IFERROR(((BS_Timeline!G47+BS_Timeline!H47)/2)/IS_Flow!H41*91,"")</f>
        <v/>
      </c>
      <c r="H88" s="4">
        <f>IFERROR(((BS_Timeline!H47+BS_Timeline!I47)/2)/IS_Flow!I41*92,"")</f>
        <v/>
      </c>
      <c r="I88" s="4">
        <f>IFERROR(((BS_Timeline!I47+BS_Timeline!J47)/2)/IS_Flow!J41*92,"")</f>
        <v/>
      </c>
      <c r="J88" s="4">
        <f>IFERROR(((BS_Timeline!J47+BS_Timeline!K47)/2)/IS_Flow!L41*90,"")</f>
        <v/>
      </c>
      <c r="K88" s="4">
        <f>IFERROR(((BS_Timeline!K47+BS_Timeline!L47)/2)/IS_Flow!M41*91,"")</f>
        <v/>
      </c>
      <c r="L88" s="4">
        <f>IFERROR(((BS_Timeline!L47+BS_Timeline!M47)/2)/IS_Flow!N41*92,"")</f>
        <v/>
      </c>
      <c r="M88" s="4">
        <f>IFERROR(((BS_Timeline!M47+BS_Timeline!N47)/2)/IS_Flow!O41*92,"")</f>
        <v/>
      </c>
      <c r="N88" s="4">
        <f>IFERROR(((BS_Timeline!N47+BS_Timeline!O47)/2)/IS_Flow!Q41*90,"")</f>
        <v/>
      </c>
      <c r="O88" s="4">
        <f>IFERROR(((BS_Timeline!O47+BS_Timeline!P47)/2)/IS_Flow!R41*91,"")</f>
        <v/>
      </c>
      <c r="P88" s="4">
        <f>IFERROR(((BS_Timeline!P47+BS_Timeline!Q47)/2)/IS_Flow!S41*92,"")</f>
        <v/>
      </c>
      <c r="Q88" s="4">
        <f>IFERROR(((BS_Timeline!Q47+BS_Timeline!R47)/2)/IS_Flow!T41*92,"")</f>
        <v/>
      </c>
      <c r="R88" s="4">
        <f>IFERROR(((BS_Timeline!R47+BS_Timeline!S47)/2)/IS_Flow!V41*90,"")</f>
        <v/>
      </c>
      <c r="S88" s="4">
        <f>IFERROR(((BS_Timeline!S47+BS_Timeline!T47)/2)/IS_Flow!W41*91,"")</f>
        <v/>
      </c>
      <c r="T88" s="4">
        <f>IFERROR(((BS_Timeline!T47+BS_Timeline!U47)/2)/IS_Flow!X41*92,"")</f>
        <v/>
      </c>
      <c r="U88" s="4">
        <f>IFERROR(((BS_Timeline!U47+BS_Timeline!V47)/2)/IS_Flow!Y41*92,"")</f>
        <v/>
      </c>
    </row>
    <row r="89">
      <c r="A89" s="1" t="inlineStr">
        <is>
          <t>CCC (วัน)</t>
        </is>
      </c>
      <c r="B89" s="4">
        <f>IFERROR(B86+B87-B88,"")</f>
        <v/>
      </c>
      <c r="C89" s="4">
        <f>IFERROR(C86+C87-C88,"")</f>
        <v/>
      </c>
      <c r="D89" s="4">
        <f>IFERROR(D86+D87-D88,"")</f>
        <v/>
      </c>
      <c r="E89" s="4">
        <f>IFERROR(E86+E87-E88,"")</f>
        <v/>
      </c>
      <c r="F89" s="4">
        <f>IFERROR(F86+F87-F88,"")</f>
        <v/>
      </c>
      <c r="G89" s="4">
        <f>IFERROR(G86+G87-G88,"")</f>
        <v/>
      </c>
      <c r="H89" s="4">
        <f>IFERROR(H86+H87-H88,"")</f>
        <v/>
      </c>
      <c r="I89" s="4">
        <f>IFERROR(I86+I87-I88,"")</f>
        <v/>
      </c>
      <c r="J89" s="4">
        <f>IFERROR(J86+J87-J88,"")</f>
        <v/>
      </c>
      <c r="K89" s="4">
        <f>IFERROR(K86+K87-K88,"")</f>
        <v/>
      </c>
      <c r="L89" s="4">
        <f>IFERROR(L86+L87-L88,"")</f>
        <v/>
      </c>
      <c r="M89" s="4">
        <f>IFERROR(M86+M87-M88,"")</f>
        <v/>
      </c>
      <c r="N89" s="4">
        <f>IFERROR(N86+N87-N88,"")</f>
        <v/>
      </c>
      <c r="O89" s="4">
        <f>IFERROR(O86+O87-O88,"")</f>
        <v/>
      </c>
      <c r="P89" s="4">
        <f>IFERROR(P86+P87-P88,"")</f>
        <v/>
      </c>
      <c r="Q89" s="4">
        <f>IFERROR(Q86+Q87-Q88,"")</f>
        <v/>
      </c>
      <c r="R89" s="4">
        <f>IFERROR(R86+R87-R88,"")</f>
        <v/>
      </c>
      <c r="S89" s="4">
        <f>IFERROR(S86+S87-S88,"")</f>
        <v/>
      </c>
      <c r="T89" s="4">
        <f>IFERROR(T86+T87-T88,"")</f>
        <v/>
      </c>
      <c r="U89" s="4">
        <f>IFERROR(U86+U87-U88,"")</f>
        <v/>
      </c>
    </row>
    <row r="90">
      <c r="A90" s="1" t="inlineStr">
        <is>
          <t>ROA รายไตรมาส (%)</t>
        </is>
      </c>
      <c r="B90" s="3">
        <f>IFERROR(IS_Flow!B42/((BS_Timeline!B48+BS_Timeline!C48)/2),"")</f>
        <v/>
      </c>
      <c r="C90" s="3">
        <f>IFERROR(IS_Flow!C42/((BS_Timeline!C48+BS_Timeline!D48)/2),"")</f>
        <v/>
      </c>
      <c r="D90" s="3">
        <f>IFERROR(IS_Flow!D42/((BS_Timeline!D48+BS_Timeline!E48)/2),"")</f>
        <v/>
      </c>
      <c r="E90" s="3">
        <f>IFERROR(IS_Flow!E42/((BS_Timeline!E48+BS_Timeline!F48)/2),"")</f>
        <v/>
      </c>
      <c r="F90" s="3">
        <f>IFERROR(IS_Flow!G42/((BS_Timeline!F48+BS_Timeline!G48)/2),"")</f>
        <v/>
      </c>
      <c r="G90" s="3">
        <f>IFERROR(IS_Flow!H42/((BS_Timeline!G48+BS_Timeline!H48)/2),"")</f>
        <v/>
      </c>
      <c r="H90" s="3">
        <f>IFERROR(IS_Flow!I42/((BS_Timeline!H48+BS_Timeline!I48)/2),"")</f>
        <v/>
      </c>
      <c r="I90" s="3">
        <f>IFERROR(IS_Flow!J42/((BS_Timeline!I48+BS_Timeline!J48)/2),"")</f>
        <v/>
      </c>
      <c r="J90" s="3">
        <f>IFERROR(IS_Flow!L42/((BS_Timeline!J48+BS_Timeline!K48)/2),"")</f>
        <v/>
      </c>
      <c r="K90" s="3">
        <f>IFERROR(IS_Flow!M42/((BS_Timeline!K48+BS_Timeline!L48)/2),"")</f>
        <v/>
      </c>
      <c r="L90" s="3">
        <f>IFERROR(IS_Flow!N42/((BS_Timeline!L48+BS_Timeline!M48)/2),"")</f>
        <v/>
      </c>
      <c r="M90" s="3">
        <f>IFERROR(IS_Flow!O42/((BS_Timeline!M48+BS_Timeline!N48)/2),"")</f>
        <v/>
      </c>
      <c r="N90" s="3">
        <f>IFERROR(IS_Flow!Q42/((BS_Timeline!N48+BS_Timeline!O48)/2),"")</f>
        <v/>
      </c>
      <c r="O90" s="3">
        <f>IFERROR(IS_Flow!R42/((BS_Timeline!O48+BS_Timeline!P48)/2),"")</f>
        <v/>
      </c>
      <c r="P90" s="3">
        <f>IFERROR(IS_Flow!S42/((BS_Timeline!P48+BS_Timeline!Q48)/2),"")</f>
        <v/>
      </c>
      <c r="Q90" s="3">
        <f>IFERROR(IS_Flow!T42/((BS_Timeline!Q48+BS_Timeline!R48)/2),"")</f>
        <v/>
      </c>
      <c r="R90" s="3">
        <f>IFERROR(IS_Flow!V42/((BS_Timeline!R48+BS_Timeline!S48)/2),"")</f>
        <v/>
      </c>
      <c r="S90" s="3">
        <f>IFERROR(IS_Flow!W42/((BS_Timeline!S48+BS_Timeline!T48)/2),"")</f>
        <v/>
      </c>
      <c r="T90" s="3">
        <f>IFERROR(IS_Flow!X42/((BS_Timeline!T48+BS_Timeline!U48)/2),"")</f>
        <v/>
      </c>
      <c r="U90" s="3">
        <f>IFERROR(IS_Flow!Y42/((BS_Timeline!U48+BS_Timeline!V48)/2),"")</f>
        <v/>
      </c>
    </row>
    <row r="91">
      <c r="A91" s="1" t="inlineStr">
        <is>
          <t>ROE รายไตรมาส (%)</t>
        </is>
      </c>
      <c r="B91" s="3">
        <f>IFERROR(IS_Flow!B42/((BS_Timeline!B49+BS_Timeline!C49)/2),"")</f>
        <v/>
      </c>
      <c r="C91" s="3">
        <f>IFERROR(IS_Flow!C42/((BS_Timeline!C49+BS_Timeline!D49)/2),"")</f>
        <v/>
      </c>
      <c r="D91" s="3">
        <f>IFERROR(IS_Flow!D42/((BS_Timeline!D49+BS_Timeline!E49)/2),"")</f>
        <v/>
      </c>
      <c r="E91" s="3">
        <f>IFERROR(IS_Flow!E42/((BS_Timeline!E49+BS_Timeline!F49)/2),"")</f>
        <v/>
      </c>
      <c r="F91" s="3">
        <f>IFERROR(IS_Flow!G42/((BS_Timeline!F49+BS_Timeline!G49)/2),"")</f>
        <v/>
      </c>
      <c r="G91" s="3">
        <f>IFERROR(IS_Flow!H42/((BS_Timeline!G49+BS_Timeline!H49)/2),"")</f>
        <v/>
      </c>
      <c r="H91" s="3">
        <f>IFERROR(IS_Flow!I42/((BS_Timeline!H49+BS_Timeline!I49)/2),"")</f>
        <v/>
      </c>
      <c r="I91" s="3">
        <f>IFERROR(IS_Flow!J42/((BS_Timeline!I49+BS_Timeline!J49)/2),"")</f>
        <v/>
      </c>
      <c r="J91" s="3">
        <f>IFERROR(IS_Flow!L42/((BS_Timeline!J49+BS_Timeline!K49)/2),"")</f>
        <v/>
      </c>
      <c r="K91" s="3">
        <f>IFERROR(IS_Flow!M42/((BS_Timeline!K49+BS_Timeline!L49)/2),"")</f>
        <v/>
      </c>
      <c r="L91" s="3">
        <f>IFERROR(IS_Flow!N42/((BS_Timeline!L49+BS_Timeline!M49)/2),"")</f>
        <v/>
      </c>
      <c r="M91" s="3">
        <f>IFERROR(IS_Flow!O42/((BS_Timeline!M49+BS_Timeline!N49)/2),"")</f>
        <v/>
      </c>
      <c r="N91" s="3">
        <f>IFERROR(IS_Flow!Q42/((BS_Timeline!N49+BS_Timeline!O49)/2),"")</f>
        <v/>
      </c>
      <c r="O91" s="3">
        <f>IFERROR(IS_Flow!R42/((BS_Timeline!O49+BS_Timeline!P49)/2),"")</f>
        <v/>
      </c>
      <c r="P91" s="3">
        <f>IFERROR(IS_Flow!S42/((BS_Timeline!P49+BS_Timeline!Q49)/2),"")</f>
        <v/>
      </c>
      <c r="Q91" s="3">
        <f>IFERROR(IS_Flow!T42/((BS_Timeline!Q49+BS_Timeline!R49)/2),"")</f>
        <v/>
      </c>
      <c r="R91" s="3">
        <f>IFERROR(IS_Flow!V42/((BS_Timeline!R49+BS_Timeline!S49)/2),"")</f>
        <v/>
      </c>
      <c r="S91" s="3">
        <f>IFERROR(IS_Flow!W42/((BS_Timeline!S49+BS_Timeline!T49)/2),"")</f>
        <v/>
      </c>
      <c r="T91" s="3">
        <f>IFERROR(IS_Flow!X42/((BS_Timeline!T49+BS_Timeline!U49)/2),"")</f>
        <v/>
      </c>
      <c r="U91" s="3">
        <f>IFERROR(IS_Flow!Y42/((BS_Timeline!U49+BS_Timeline!V49)/2),"")</f>
        <v/>
      </c>
    </row>
    <row r="92">
      <c r="A92" s="1" t="inlineStr">
        <is>
          <t>D/E (เท่า)</t>
        </is>
      </c>
      <c r="B92" s="4">
        <f>IFERROR(BS_Timeline!C50/BS_Timeline!C49,"")</f>
        <v/>
      </c>
      <c r="C92" s="4">
        <f>IFERROR(BS_Timeline!D50/BS_Timeline!D49,"")</f>
        <v/>
      </c>
      <c r="D92" s="4">
        <f>IFERROR(BS_Timeline!E50/BS_Timeline!E49,"")</f>
        <v/>
      </c>
      <c r="E92" s="4">
        <f>IFERROR(BS_Timeline!F50/BS_Timeline!F49,"")</f>
        <v/>
      </c>
      <c r="F92" s="4">
        <f>IFERROR(BS_Timeline!G50/BS_Timeline!G49,"")</f>
        <v/>
      </c>
      <c r="G92" s="4">
        <f>IFERROR(BS_Timeline!H50/BS_Timeline!H49,"")</f>
        <v/>
      </c>
      <c r="H92" s="4">
        <f>IFERROR(BS_Timeline!I50/BS_Timeline!I49,"")</f>
        <v/>
      </c>
      <c r="I92" s="4">
        <f>IFERROR(BS_Timeline!J50/BS_Timeline!J49,"")</f>
        <v/>
      </c>
      <c r="J92" s="4">
        <f>IFERROR(BS_Timeline!K50/BS_Timeline!K49,"")</f>
        <v/>
      </c>
      <c r="K92" s="4">
        <f>IFERROR(BS_Timeline!L50/BS_Timeline!L49,"")</f>
        <v/>
      </c>
      <c r="L92" s="4">
        <f>IFERROR(BS_Timeline!M50/BS_Timeline!M49,"")</f>
        <v/>
      </c>
      <c r="M92" s="4">
        <f>IFERROR(BS_Timeline!N50/BS_Timeline!N49,"")</f>
        <v/>
      </c>
      <c r="N92" s="4">
        <f>IFERROR(BS_Timeline!O50/BS_Timeline!O49,"")</f>
        <v/>
      </c>
      <c r="O92" s="4">
        <f>IFERROR(BS_Timeline!P50/BS_Timeline!P49,"")</f>
        <v/>
      </c>
      <c r="P92" s="4">
        <f>IFERROR(BS_Timeline!Q50/BS_Timeline!Q49,"")</f>
        <v/>
      </c>
      <c r="Q92" s="4">
        <f>IFERROR(BS_Timeline!R50/BS_Timeline!R49,"")</f>
        <v/>
      </c>
      <c r="R92" s="4">
        <f>IFERROR(BS_Timeline!S50/BS_Timeline!S49,"")</f>
        <v/>
      </c>
      <c r="S92" s="4">
        <f>IFERROR(BS_Timeline!T50/BS_Timeline!T49,"")</f>
        <v/>
      </c>
      <c r="T92" s="4">
        <f>IFERROR(BS_Timeline!U50/BS_Timeline!U49,"")</f>
        <v/>
      </c>
      <c r="U92" s="4">
        <f>IFERROR(BS_Timeline!V50/BS_Timeline!V49,"")</f>
        <v/>
      </c>
    </row>
    <row r="93">
      <c r="A93" s="7" t="inlineStr">
        <is>
          <t>■ SHANG</t>
        </is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1" t="inlineStr">
        <is>
          <t>รายได้รวม (ล้านบาท)</t>
        </is>
      </c>
      <c r="B94" s="4">
        <f>IS_Flow!B45</f>
        <v/>
      </c>
      <c r="C94" s="4">
        <f>IS_Flow!C45</f>
        <v/>
      </c>
      <c r="D94" s="4">
        <f>IS_Flow!D45</f>
        <v/>
      </c>
      <c r="E94" s="4">
        <f>IS_Flow!E45</f>
        <v/>
      </c>
      <c r="F94" s="4">
        <f>IS_Flow!G45</f>
        <v/>
      </c>
      <c r="G94" s="4">
        <f>IS_Flow!H45</f>
        <v/>
      </c>
      <c r="H94" s="4">
        <f>IS_Flow!I45</f>
        <v/>
      </c>
      <c r="I94" s="4">
        <f>IS_Flow!J45</f>
        <v/>
      </c>
      <c r="J94" s="4">
        <f>IS_Flow!L45</f>
        <v/>
      </c>
      <c r="K94" s="4">
        <f>IS_Flow!M45</f>
        <v/>
      </c>
      <c r="L94" s="4">
        <f>IS_Flow!N45</f>
        <v/>
      </c>
      <c r="M94" s="4">
        <f>IS_Flow!O45</f>
        <v/>
      </c>
      <c r="N94" s="4">
        <f>IS_Flow!Q45</f>
        <v/>
      </c>
      <c r="O94" s="4">
        <f>IS_Flow!R45</f>
        <v/>
      </c>
      <c r="P94" s="4">
        <f>IS_Flow!S45</f>
        <v/>
      </c>
      <c r="Q94" s="4">
        <f>IS_Flow!T45</f>
        <v/>
      </c>
      <c r="R94" s="4">
        <f>IS_Flow!V45</f>
        <v/>
      </c>
      <c r="S94" s="4">
        <f>IS_Flow!W45</f>
        <v/>
      </c>
      <c r="T94" s="4">
        <f>IS_Flow!X45</f>
        <v/>
      </c>
      <c r="U94" s="4">
        <f>IS_Flow!Y45</f>
        <v/>
      </c>
    </row>
    <row r="95">
      <c r="A95" s="1" t="inlineStr">
        <is>
          <t>ต้นทุนขาย (ล้านบาท)</t>
        </is>
      </c>
      <c r="B95" s="4">
        <f>IS_Flow!B47</f>
        <v/>
      </c>
      <c r="C95" s="4">
        <f>IS_Flow!C47</f>
        <v/>
      </c>
      <c r="D95" s="4">
        <f>IS_Flow!D47</f>
        <v/>
      </c>
      <c r="E95" s="4">
        <f>IS_Flow!E47</f>
        <v/>
      </c>
      <c r="F95" s="4">
        <f>IS_Flow!G47</f>
        <v/>
      </c>
      <c r="G95" s="4">
        <f>IS_Flow!H47</f>
        <v/>
      </c>
      <c r="H95" s="4">
        <f>IS_Flow!I47</f>
        <v/>
      </c>
      <c r="I95" s="4">
        <f>IS_Flow!J47</f>
        <v/>
      </c>
      <c r="J95" s="4">
        <f>IS_Flow!L47</f>
        <v/>
      </c>
      <c r="K95" s="4">
        <f>IS_Flow!M47</f>
        <v/>
      </c>
      <c r="L95" s="4">
        <f>IS_Flow!N47</f>
        <v/>
      </c>
      <c r="M95" s="4">
        <f>IS_Flow!O47</f>
        <v/>
      </c>
      <c r="N95" s="4">
        <f>IS_Flow!Q47</f>
        <v/>
      </c>
      <c r="O95" s="4">
        <f>IS_Flow!R47</f>
        <v/>
      </c>
      <c r="P95" s="4">
        <f>IS_Flow!S47</f>
        <v/>
      </c>
      <c r="Q95" s="4">
        <f>IS_Flow!T47</f>
        <v/>
      </c>
      <c r="R95" s="4">
        <f>IS_Flow!V47</f>
        <v/>
      </c>
      <c r="S95" s="4">
        <f>IS_Flow!W47</f>
        <v/>
      </c>
      <c r="T95" s="4">
        <f>IS_Flow!X47</f>
        <v/>
      </c>
      <c r="U95" s="4">
        <f>IS_Flow!Y47</f>
        <v/>
      </c>
    </row>
    <row r="96">
      <c r="A96" s="1" t="inlineStr">
        <is>
          <t>กำไรสุทธิ (ล้านบาท)</t>
        </is>
      </c>
      <c r="B96" s="4">
        <f>IS_Flow!B48</f>
        <v/>
      </c>
      <c r="C96" s="4">
        <f>IS_Flow!C48</f>
        <v/>
      </c>
      <c r="D96" s="4">
        <f>IS_Flow!D48</f>
        <v/>
      </c>
      <c r="E96" s="4">
        <f>IS_Flow!E48</f>
        <v/>
      </c>
      <c r="F96" s="4">
        <f>IS_Flow!G48</f>
        <v/>
      </c>
      <c r="G96" s="4">
        <f>IS_Flow!H48</f>
        <v/>
      </c>
      <c r="H96" s="4">
        <f>IS_Flow!I48</f>
        <v/>
      </c>
      <c r="I96" s="4">
        <f>IS_Flow!J48</f>
        <v/>
      </c>
      <c r="J96" s="4">
        <f>IS_Flow!L48</f>
        <v/>
      </c>
      <c r="K96" s="4">
        <f>IS_Flow!M48</f>
        <v/>
      </c>
      <c r="L96" s="4">
        <f>IS_Flow!N48</f>
        <v/>
      </c>
      <c r="M96" s="4">
        <f>IS_Flow!O48</f>
        <v/>
      </c>
      <c r="N96" s="4">
        <f>IS_Flow!Q48</f>
        <v/>
      </c>
      <c r="O96" s="4">
        <f>IS_Flow!R48</f>
        <v/>
      </c>
      <c r="P96" s="4">
        <f>IS_Flow!S48</f>
        <v/>
      </c>
      <c r="Q96" s="4">
        <f>IS_Flow!T48</f>
        <v/>
      </c>
      <c r="R96" s="4">
        <f>IS_Flow!V48</f>
        <v/>
      </c>
      <c r="S96" s="4">
        <f>IS_Flow!W48</f>
        <v/>
      </c>
      <c r="T96" s="4">
        <f>IS_Flow!X48</f>
        <v/>
      </c>
      <c r="U96" s="4">
        <f>IS_Flow!Y48</f>
        <v/>
      </c>
    </row>
    <row r="97">
      <c r="A97" s="1" t="inlineStr">
        <is>
          <t>NPM (%)</t>
        </is>
      </c>
      <c r="B97" s="3">
        <f>IFERROR(IS_Flow!B48/IS_Flow!B45,"")</f>
        <v/>
      </c>
      <c r="C97" s="3">
        <f>IFERROR(IS_Flow!C48/IS_Flow!C45,"")</f>
        <v/>
      </c>
      <c r="D97" s="3">
        <f>IFERROR(IS_Flow!D48/IS_Flow!D45,"")</f>
        <v/>
      </c>
      <c r="E97" s="3">
        <f>IFERROR(IS_Flow!E48/IS_Flow!E45,"")</f>
        <v/>
      </c>
      <c r="F97" s="3">
        <f>IFERROR(IS_Flow!G48/IS_Flow!G45,"")</f>
        <v/>
      </c>
      <c r="G97" s="3">
        <f>IFERROR(IS_Flow!H48/IS_Flow!H45,"")</f>
        <v/>
      </c>
      <c r="H97" s="3">
        <f>IFERROR(IS_Flow!I48/IS_Flow!I45,"")</f>
        <v/>
      </c>
      <c r="I97" s="3">
        <f>IFERROR(IS_Flow!J48/IS_Flow!J45,"")</f>
        <v/>
      </c>
      <c r="J97" s="3">
        <f>IFERROR(IS_Flow!L48/IS_Flow!L45,"")</f>
        <v/>
      </c>
      <c r="K97" s="3">
        <f>IFERROR(IS_Flow!M48/IS_Flow!M45,"")</f>
        <v/>
      </c>
      <c r="L97" s="3">
        <f>IFERROR(IS_Flow!N48/IS_Flow!N45,"")</f>
        <v/>
      </c>
      <c r="M97" s="3">
        <f>IFERROR(IS_Flow!O48/IS_Flow!O45,"")</f>
        <v/>
      </c>
      <c r="N97" s="3">
        <f>IFERROR(IS_Flow!Q48/IS_Flow!Q45,"")</f>
        <v/>
      </c>
      <c r="O97" s="3">
        <f>IFERROR(IS_Flow!R48/IS_Flow!R45,"")</f>
        <v/>
      </c>
      <c r="P97" s="3">
        <f>IFERROR(IS_Flow!S48/IS_Flow!S45,"")</f>
        <v/>
      </c>
      <c r="Q97" s="3">
        <f>IFERROR(IS_Flow!T48/IS_Flow!T45,"")</f>
        <v/>
      </c>
      <c r="R97" s="3">
        <f>IFERROR(IS_Flow!V48/IS_Flow!V45,"")</f>
        <v/>
      </c>
      <c r="S97" s="3">
        <f>IFERROR(IS_Flow!W48/IS_Flow!W45,"")</f>
        <v/>
      </c>
      <c r="T97" s="3">
        <f>IFERROR(IS_Flow!X48/IS_Flow!X45,"")</f>
        <v/>
      </c>
      <c r="U97" s="3">
        <f>IFERROR(IS_Flow!Y48/IS_Flow!Y45,"")</f>
        <v/>
      </c>
    </row>
    <row r="98">
      <c r="A98" s="1" t="inlineStr">
        <is>
          <t>Gross Margin (%)</t>
        </is>
      </c>
      <c r="B98" s="3">
        <f>IFERROR((IS_Flow!B45-IS_Flow!B46-IS_Flow!B47)/(IS_Flow!B45-IS_Flow!B46),"")</f>
        <v/>
      </c>
      <c r="C98" s="3">
        <f>IFERROR((IS_Flow!C45-IS_Flow!C46-IS_Flow!C47)/(IS_Flow!C45-IS_Flow!C46),"")</f>
        <v/>
      </c>
      <c r="D98" s="3">
        <f>IFERROR((IS_Flow!D45-IS_Flow!D46-IS_Flow!D47)/(IS_Flow!D45-IS_Flow!D46),"")</f>
        <v/>
      </c>
      <c r="E98" s="3">
        <f>IFERROR((IS_Flow!E45-IS_Flow!E46-IS_Flow!E47)/(IS_Flow!E45-IS_Flow!E46),"")</f>
        <v/>
      </c>
      <c r="F98" s="3">
        <f>IFERROR((IS_Flow!G45-IS_Flow!G46-IS_Flow!G47)/(IS_Flow!G45-IS_Flow!G46),"")</f>
        <v/>
      </c>
      <c r="G98" s="3">
        <f>IFERROR((IS_Flow!H45-IS_Flow!H46-IS_Flow!H47)/(IS_Flow!H45-IS_Flow!H46),"")</f>
        <v/>
      </c>
      <c r="H98" s="3">
        <f>IFERROR((IS_Flow!I45-IS_Flow!I46-IS_Flow!I47)/(IS_Flow!I45-IS_Flow!I46),"")</f>
        <v/>
      </c>
      <c r="I98" s="3">
        <f>IFERROR((IS_Flow!J45-IS_Flow!J46-IS_Flow!J47)/(IS_Flow!J45-IS_Flow!J46),"")</f>
        <v/>
      </c>
      <c r="J98" s="3">
        <f>IFERROR((IS_Flow!L45-IS_Flow!L46-IS_Flow!L47)/(IS_Flow!L45-IS_Flow!L46),"")</f>
        <v/>
      </c>
      <c r="K98" s="3">
        <f>IFERROR((IS_Flow!M45-IS_Flow!M46-IS_Flow!M47)/(IS_Flow!M45-IS_Flow!M46),"")</f>
        <v/>
      </c>
      <c r="L98" s="3">
        <f>IFERROR((IS_Flow!N45-IS_Flow!N46-IS_Flow!N47)/(IS_Flow!N45-IS_Flow!N46),"")</f>
        <v/>
      </c>
      <c r="M98" s="3">
        <f>IFERROR((IS_Flow!O45-IS_Flow!O46-IS_Flow!O47)/(IS_Flow!O45-IS_Flow!O46),"")</f>
        <v/>
      </c>
      <c r="N98" s="3">
        <f>IFERROR((IS_Flow!Q45-IS_Flow!Q46-IS_Flow!Q47)/(IS_Flow!Q45-IS_Flow!Q46),"")</f>
        <v/>
      </c>
      <c r="O98" s="3">
        <f>IFERROR((IS_Flow!R45-IS_Flow!R46-IS_Flow!R47)/(IS_Flow!R45-IS_Flow!R46),"")</f>
        <v/>
      </c>
      <c r="P98" s="3">
        <f>IFERROR((IS_Flow!S45-IS_Flow!S46-IS_Flow!S47)/(IS_Flow!S45-IS_Flow!S46),"")</f>
        <v/>
      </c>
      <c r="Q98" s="3">
        <f>IFERROR((IS_Flow!T45-IS_Flow!T46-IS_Flow!T47)/(IS_Flow!T45-IS_Flow!T46),"")</f>
        <v/>
      </c>
      <c r="R98" s="3">
        <f>IFERROR((IS_Flow!V45-IS_Flow!V46-IS_Flow!V47)/(IS_Flow!V45-IS_Flow!V46),"")</f>
        <v/>
      </c>
      <c r="S98" s="3">
        <f>IFERROR((IS_Flow!W45-IS_Flow!W46-IS_Flow!W47)/(IS_Flow!W45-IS_Flow!W46),"")</f>
        <v/>
      </c>
      <c r="T98" s="3">
        <f>IFERROR((IS_Flow!X45-IS_Flow!X46-IS_Flow!X47)/(IS_Flow!X45-IS_Flow!X46),"")</f>
        <v/>
      </c>
      <c r="U98" s="3">
        <f>IFERROR((IS_Flow!Y45-IS_Flow!Y46-IS_Flow!Y47)/(IS_Flow!Y45-IS_Flow!Y46),"")</f>
        <v/>
      </c>
    </row>
    <row r="99">
      <c r="A99" s="1" t="inlineStr">
        <is>
          <t>DSO (วัน)</t>
        </is>
      </c>
      <c r="B99" s="4">
        <f>IFERROR(((BS_Timeline!B52+BS_Timeline!C52)/2)/IS_Flow!B45*90,"")</f>
        <v/>
      </c>
      <c r="C99" s="4">
        <f>IFERROR(((BS_Timeline!C52+BS_Timeline!D52)/2)/IS_Flow!C45*91,"")</f>
        <v/>
      </c>
      <c r="D99" s="4">
        <f>IFERROR(((BS_Timeline!D52+BS_Timeline!E52)/2)/IS_Flow!D45*92,"")</f>
        <v/>
      </c>
      <c r="E99" s="4">
        <f>IFERROR(((BS_Timeline!E52+BS_Timeline!F52)/2)/IS_Flow!E45*92,"")</f>
        <v/>
      </c>
      <c r="F99" s="4">
        <f>IFERROR(((BS_Timeline!F52+BS_Timeline!G52)/2)/IS_Flow!G45*90,"")</f>
        <v/>
      </c>
      <c r="G99" s="4">
        <f>IFERROR(((BS_Timeline!G52+BS_Timeline!H52)/2)/IS_Flow!H45*91,"")</f>
        <v/>
      </c>
      <c r="H99" s="4">
        <f>IFERROR(((BS_Timeline!H52+BS_Timeline!I52)/2)/IS_Flow!I45*92,"")</f>
        <v/>
      </c>
      <c r="I99" s="4">
        <f>IFERROR(((BS_Timeline!I52+BS_Timeline!J52)/2)/IS_Flow!J45*92,"")</f>
        <v/>
      </c>
      <c r="J99" s="4">
        <f>IFERROR(((BS_Timeline!J52+BS_Timeline!K52)/2)/IS_Flow!L45*90,"")</f>
        <v/>
      </c>
      <c r="K99" s="4">
        <f>IFERROR(((BS_Timeline!K52+BS_Timeline!L52)/2)/IS_Flow!M45*91,"")</f>
        <v/>
      </c>
      <c r="L99" s="4">
        <f>IFERROR(((BS_Timeline!L52+BS_Timeline!M52)/2)/IS_Flow!N45*92,"")</f>
        <v/>
      </c>
      <c r="M99" s="4">
        <f>IFERROR(((BS_Timeline!M52+BS_Timeline!N52)/2)/IS_Flow!O45*92,"")</f>
        <v/>
      </c>
      <c r="N99" s="4">
        <f>IFERROR(((BS_Timeline!N52+BS_Timeline!O52)/2)/IS_Flow!Q45*90,"")</f>
        <v/>
      </c>
      <c r="O99" s="4">
        <f>IFERROR(((BS_Timeline!O52+BS_Timeline!P52)/2)/IS_Flow!R45*91,"")</f>
        <v/>
      </c>
      <c r="P99" s="4">
        <f>IFERROR(((BS_Timeline!P52+BS_Timeline!Q52)/2)/IS_Flow!S45*92,"")</f>
        <v/>
      </c>
      <c r="Q99" s="4">
        <f>IFERROR(((BS_Timeline!Q52+BS_Timeline!R52)/2)/IS_Flow!T45*92,"")</f>
        <v/>
      </c>
      <c r="R99" s="4">
        <f>IFERROR(((BS_Timeline!R52+BS_Timeline!S52)/2)/IS_Flow!V45*90,"")</f>
        <v/>
      </c>
      <c r="S99" s="4">
        <f>IFERROR(((BS_Timeline!S52+BS_Timeline!T52)/2)/IS_Flow!W45*91,"")</f>
        <v/>
      </c>
      <c r="T99" s="4">
        <f>IFERROR(((BS_Timeline!T52+BS_Timeline!U52)/2)/IS_Flow!X45*92,"")</f>
        <v/>
      </c>
      <c r="U99" s="4">
        <f>IFERROR(((BS_Timeline!U52+BS_Timeline!V52)/2)/IS_Flow!Y45*92,"")</f>
        <v/>
      </c>
    </row>
    <row r="100">
      <c r="A100" s="1" t="inlineStr">
        <is>
          <t>DIO (วัน)</t>
        </is>
      </c>
      <c r="B100" s="4">
        <f>IFERROR(((BS_Timeline!B53+BS_Timeline!C53)/2)/IS_Flow!B47*90,"")</f>
        <v/>
      </c>
      <c r="C100" s="4">
        <f>IFERROR(((BS_Timeline!C53+BS_Timeline!D53)/2)/IS_Flow!C47*91,"")</f>
        <v/>
      </c>
      <c r="D100" s="4">
        <f>IFERROR(((BS_Timeline!D53+BS_Timeline!E53)/2)/IS_Flow!D47*92,"")</f>
        <v/>
      </c>
      <c r="E100" s="4">
        <f>IFERROR(((BS_Timeline!E53+BS_Timeline!F53)/2)/IS_Flow!E47*92,"")</f>
        <v/>
      </c>
      <c r="F100" s="4">
        <f>IFERROR(((BS_Timeline!F53+BS_Timeline!G53)/2)/IS_Flow!G47*90,"")</f>
        <v/>
      </c>
      <c r="G100" s="4">
        <f>IFERROR(((BS_Timeline!G53+BS_Timeline!H53)/2)/IS_Flow!H47*91,"")</f>
        <v/>
      </c>
      <c r="H100" s="4">
        <f>IFERROR(((BS_Timeline!H53+BS_Timeline!I53)/2)/IS_Flow!I47*92,"")</f>
        <v/>
      </c>
      <c r="I100" s="4">
        <f>IFERROR(((BS_Timeline!I53+BS_Timeline!J53)/2)/IS_Flow!J47*92,"")</f>
        <v/>
      </c>
      <c r="J100" s="4">
        <f>IFERROR(((BS_Timeline!J53+BS_Timeline!K53)/2)/IS_Flow!L47*90,"")</f>
        <v/>
      </c>
      <c r="K100" s="4">
        <f>IFERROR(((BS_Timeline!K53+BS_Timeline!L53)/2)/IS_Flow!M47*91,"")</f>
        <v/>
      </c>
      <c r="L100" s="4">
        <f>IFERROR(((BS_Timeline!L53+BS_Timeline!M53)/2)/IS_Flow!N47*92,"")</f>
        <v/>
      </c>
      <c r="M100" s="4">
        <f>IFERROR(((BS_Timeline!M53+BS_Timeline!N53)/2)/IS_Flow!O47*92,"")</f>
        <v/>
      </c>
      <c r="N100" s="4">
        <f>IFERROR(((BS_Timeline!N53+BS_Timeline!O53)/2)/IS_Flow!Q47*90,"")</f>
        <v/>
      </c>
      <c r="O100" s="4">
        <f>IFERROR(((BS_Timeline!O53+BS_Timeline!P53)/2)/IS_Flow!R47*91,"")</f>
        <v/>
      </c>
      <c r="P100" s="4">
        <f>IFERROR(((BS_Timeline!P53+BS_Timeline!Q53)/2)/IS_Flow!S47*92,"")</f>
        <v/>
      </c>
      <c r="Q100" s="4">
        <f>IFERROR(((BS_Timeline!Q53+BS_Timeline!R53)/2)/IS_Flow!T47*92,"")</f>
        <v/>
      </c>
      <c r="R100" s="4">
        <f>IFERROR(((BS_Timeline!R53+BS_Timeline!S53)/2)/IS_Flow!V47*90,"")</f>
        <v/>
      </c>
      <c r="S100" s="4">
        <f>IFERROR(((BS_Timeline!S53+BS_Timeline!T53)/2)/IS_Flow!W47*91,"")</f>
        <v/>
      </c>
      <c r="T100" s="4">
        <f>IFERROR(((BS_Timeline!T53+BS_Timeline!U53)/2)/IS_Flow!X47*92,"")</f>
        <v/>
      </c>
      <c r="U100" s="4">
        <f>IFERROR(((BS_Timeline!U53+BS_Timeline!V53)/2)/IS_Flow!Y47*92,"")</f>
        <v/>
      </c>
    </row>
    <row r="101">
      <c r="A101" s="1" t="inlineStr">
        <is>
          <t>DPO (วัน)</t>
        </is>
      </c>
      <c r="B101" s="4">
        <f>IFERROR(((BS_Timeline!B54+BS_Timeline!C54)/2)/IS_Flow!B47*90,"")</f>
        <v/>
      </c>
      <c r="C101" s="4">
        <f>IFERROR(((BS_Timeline!C54+BS_Timeline!D54)/2)/IS_Flow!C47*91,"")</f>
        <v/>
      </c>
      <c r="D101" s="4">
        <f>IFERROR(((BS_Timeline!D54+BS_Timeline!E54)/2)/IS_Flow!D47*92,"")</f>
        <v/>
      </c>
      <c r="E101" s="4">
        <f>IFERROR(((BS_Timeline!E54+BS_Timeline!F54)/2)/IS_Flow!E47*92,"")</f>
        <v/>
      </c>
      <c r="F101" s="4">
        <f>IFERROR(((BS_Timeline!F54+BS_Timeline!G54)/2)/IS_Flow!G47*90,"")</f>
        <v/>
      </c>
      <c r="G101" s="4">
        <f>IFERROR(((BS_Timeline!G54+BS_Timeline!H54)/2)/IS_Flow!H47*91,"")</f>
        <v/>
      </c>
      <c r="H101" s="4">
        <f>IFERROR(((BS_Timeline!H54+BS_Timeline!I54)/2)/IS_Flow!I47*92,"")</f>
        <v/>
      </c>
      <c r="I101" s="4">
        <f>IFERROR(((BS_Timeline!I54+BS_Timeline!J54)/2)/IS_Flow!J47*92,"")</f>
        <v/>
      </c>
      <c r="J101" s="4">
        <f>IFERROR(((BS_Timeline!J54+BS_Timeline!K54)/2)/IS_Flow!L47*90,"")</f>
        <v/>
      </c>
      <c r="K101" s="4">
        <f>IFERROR(((BS_Timeline!K54+BS_Timeline!L54)/2)/IS_Flow!M47*91,"")</f>
        <v/>
      </c>
      <c r="L101" s="4">
        <f>IFERROR(((BS_Timeline!L54+BS_Timeline!M54)/2)/IS_Flow!N47*92,"")</f>
        <v/>
      </c>
      <c r="M101" s="4">
        <f>IFERROR(((BS_Timeline!M54+BS_Timeline!N54)/2)/IS_Flow!O47*92,"")</f>
        <v/>
      </c>
      <c r="N101" s="4">
        <f>IFERROR(((BS_Timeline!N54+BS_Timeline!O54)/2)/IS_Flow!Q47*90,"")</f>
        <v/>
      </c>
      <c r="O101" s="4">
        <f>IFERROR(((BS_Timeline!O54+BS_Timeline!P54)/2)/IS_Flow!R47*91,"")</f>
        <v/>
      </c>
      <c r="P101" s="4">
        <f>IFERROR(((BS_Timeline!P54+BS_Timeline!Q54)/2)/IS_Flow!S47*92,"")</f>
        <v/>
      </c>
      <c r="Q101" s="4">
        <f>IFERROR(((BS_Timeline!Q54+BS_Timeline!R54)/2)/IS_Flow!T47*92,"")</f>
        <v/>
      </c>
      <c r="R101" s="4">
        <f>IFERROR(((BS_Timeline!R54+BS_Timeline!S54)/2)/IS_Flow!V47*90,"")</f>
        <v/>
      </c>
      <c r="S101" s="4">
        <f>IFERROR(((BS_Timeline!S54+BS_Timeline!T54)/2)/IS_Flow!W47*91,"")</f>
        <v/>
      </c>
      <c r="T101" s="4">
        <f>IFERROR(((BS_Timeline!T54+BS_Timeline!U54)/2)/IS_Flow!X47*92,"")</f>
        <v/>
      </c>
      <c r="U101" s="4">
        <f>IFERROR(((BS_Timeline!U54+BS_Timeline!V54)/2)/IS_Flow!Y47*92,"")</f>
        <v/>
      </c>
    </row>
    <row r="102">
      <c r="A102" s="1" t="inlineStr">
        <is>
          <t>CCC (วัน)</t>
        </is>
      </c>
      <c r="B102" s="4">
        <f>IFERROR(B99+B100-B101,"")</f>
        <v/>
      </c>
      <c r="C102" s="4">
        <f>IFERROR(C99+C100-C101,"")</f>
        <v/>
      </c>
      <c r="D102" s="4">
        <f>IFERROR(D99+D100-D101,"")</f>
        <v/>
      </c>
      <c r="E102" s="4">
        <f>IFERROR(E99+E100-E101,"")</f>
        <v/>
      </c>
      <c r="F102" s="4">
        <f>IFERROR(F99+F100-F101,"")</f>
        <v/>
      </c>
      <c r="G102" s="4">
        <f>IFERROR(G99+G100-G101,"")</f>
        <v/>
      </c>
      <c r="H102" s="4">
        <f>IFERROR(H99+H100-H101,"")</f>
        <v/>
      </c>
      <c r="I102" s="4">
        <f>IFERROR(I99+I100-I101,"")</f>
        <v/>
      </c>
      <c r="J102" s="4">
        <f>IFERROR(J99+J100-J101,"")</f>
        <v/>
      </c>
      <c r="K102" s="4">
        <f>IFERROR(K99+K100-K101,"")</f>
        <v/>
      </c>
      <c r="L102" s="4">
        <f>IFERROR(L99+L100-L101,"")</f>
        <v/>
      </c>
      <c r="M102" s="4">
        <f>IFERROR(M99+M100-M101,"")</f>
        <v/>
      </c>
      <c r="N102" s="4">
        <f>IFERROR(N99+N100-N101,"")</f>
        <v/>
      </c>
      <c r="O102" s="4">
        <f>IFERROR(O99+O100-O101,"")</f>
        <v/>
      </c>
      <c r="P102" s="4">
        <f>IFERROR(P99+P100-P101,"")</f>
        <v/>
      </c>
      <c r="Q102" s="4">
        <f>IFERROR(Q99+Q100-Q101,"")</f>
        <v/>
      </c>
      <c r="R102" s="4">
        <f>IFERROR(R99+R100-R101,"")</f>
        <v/>
      </c>
      <c r="S102" s="4">
        <f>IFERROR(S99+S100-S101,"")</f>
        <v/>
      </c>
      <c r="T102" s="4">
        <f>IFERROR(T99+T100-T101,"")</f>
        <v/>
      </c>
      <c r="U102" s="4">
        <f>IFERROR(U99+U100-U101,"")</f>
        <v/>
      </c>
    </row>
    <row r="103">
      <c r="A103" s="1" t="inlineStr">
        <is>
          <t>ROA รายไตรมาส (%)</t>
        </is>
      </c>
      <c r="B103" s="3">
        <f>IFERROR(IS_Flow!B48/((BS_Timeline!B55+BS_Timeline!C55)/2),"")</f>
        <v/>
      </c>
      <c r="C103" s="3">
        <f>IFERROR(IS_Flow!C48/((BS_Timeline!C55+BS_Timeline!D55)/2),"")</f>
        <v/>
      </c>
      <c r="D103" s="3">
        <f>IFERROR(IS_Flow!D48/((BS_Timeline!D55+BS_Timeline!E55)/2),"")</f>
        <v/>
      </c>
      <c r="E103" s="3">
        <f>IFERROR(IS_Flow!E48/((BS_Timeline!E55+BS_Timeline!F55)/2),"")</f>
        <v/>
      </c>
      <c r="F103" s="3">
        <f>IFERROR(IS_Flow!G48/((BS_Timeline!F55+BS_Timeline!G55)/2),"")</f>
        <v/>
      </c>
      <c r="G103" s="3">
        <f>IFERROR(IS_Flow!H48/((BS_Timeline!G55+BS_Timeline!H55)/2),"")</f>
        <v/>
      </c>
      <c r="H103" s="3">
        <f>IFERROR(IS_Flow!I48/((BS_Timeline!H55+BS_Timeline!I55)/2),"")</f>
        <v/>
      </c>
      <c r="I103" s="3">
        <f>IFERROR(IS_Flow!J48/((BS_Timeline!I55+BS_Timeline!J55)/2),"")</f>
        <v/>
      </c>
      <c r="J103" s="3">
        <f>IFERROR(IS_Flow!L48/((BS_Timeline!J55+BS_Timeline!K55)/2),"")</f>
        <v/>
      </c>
      <c r="K103" s="3">
        <f>IFERROR(IS_Flow!M48/((BS_Timeline!K55+BS_Timeline!L55)/2),"")</f>
        <v/>
      </c>
      <c r="L103" s="3">
        <f>IFERROR(IS_Flow!N48/((BS_Timeline!L55+BS_Timeline!M55)/2),"")</f>
        <v/>
      </c>
      <c r="M103" s="3">
        <f>IFERROR(IS_Flow!O48/((BS_Timeline!M55+BS_Timeline!N55)/2),"")</f>
        <v/>
      </c>
      <c r="N103" s="3">
        <f>IFERROR(IS_Flow!Q48/((BS_Timeline!N55+BS_Timeline!O55)/2),"")</f>
        <v/>
      </c>
      <c r="O103" s="3">
        <f>IFERROR(IS_Flow!R48/((BS_Timeline!O55+BS_Timeline!P55)/2),"")</f>
        <v/>
      </c>
      <c r="P103" s="3">
        <f>IFERROR(IS_Flow!S48/((BS_Timeline!P55+BS_Timeline!Q55)/2),"")</f>
        <v/>
      </c>
      <c r="Q103" s="3">
        <f>IFERROR(IS_Flow!T48/((BS_Timeline!Q55+BS_Timeline!R55)/2),"")</f>
        <v/>
      </c>
      <c r="R103" s="3">
        <f>IFERROR(IS_Flow!V48/((BS_Timeline!R55+BS_Timeline!S55)/2),"")</f>
        <v/>
      </c>
      <c r="S103" s="3">
        <f>IFERROR(IS_Flow!W48/((BS_Timeline!S55+BS_Timeline!T55)/2),"")</f>
        <v/>
      </c>
      <c r="T103" s="3">
        <f>IFERROR(IS_Flow!X48/((BS_Timeline!T55+BS_Timeline!U55)/2),"")</f>
        <v/>
      </c>
      <c r="U103" s="3">
        <f>IFERROR(IS_Flow!Y48/((BS_Timeline!U55+BS_Timeline!V55)/2),"")</f>
        <v/>
      </c>
    </row>
    <row r="104">
      <c r="A104" s="1" t="inlineStr">
        <is>
          <t>ROE รายไตรมาส (%)</t>
        </is>
      </c>
      <c r="B104" s="3">
        <f>IFERROR(IS_Flow!B48/((BS_Timeline!B56+BS_Timeline!C56)/2),"")</f>
        <v/>
      </c>
      <c r="C104" s="3">
        <f>IFERROR(IS_Flow!C48/((BS_Timeline!C56+BS_Timeline!D56)/2),"")</f>
        <v/>
      </c>
      <c r="D104" s="3">
        <f>IFERROR(IS_Flow!D48/((BS_Timeline!D56+BS_Timeline!E56)/2),"")</f>
        <v/>
      </c>
      <c r="E104" s="3">
        <f>IFERROR(IS_Flow!E48/((BS_Timeline!E56+BS_Timeline!F56)/2),"")</f>
        <v/>
      </c>
      <c r="F104" s="3">
        <f>IFERROR(IS_Flow!G48/((BS_Timeline!F56+BS_Timeline!G56)/2),"")</f>
        <v/>
      </c>
      <c r="G104" s="3">
        <f>IFERROR(IS_Flow!H48/((BS_Timeline!G56+BS_Timeline!H56)/2),"")</f>
        <v/>
      </c>
      <c r="H104" s="3">
        <f>IFERROR(IS_Flow!I48/((BS_Timeline!H56+BS_Timeline!I56)/2),"")</f>
        <v/>
      </c>
      <c r="I104" s="3">
        <f>IFERROR(IS_Flow!J48/((BS_Timeline!I56+BS_Timeline!J56)/2),"")</f>
        <v/>
      </c>
      <c r="J104" s="3">
        <f>IFERROR(IS_Flow!L48/((BS_Timeline!J56+BS_Timeline!K56)/2),"")</f>
        <v/>
      </c>
      <c r="K104" s="3">
        <f>IFERROR(IS_Flow!M48/((BS_Timeline!K56+BS_Timeline!L56)/2),"")</f>
        <v/>
      </c>
      <c r="L104" s="3">
        <f>IFERROR(IS_Flow!N48/((BS_Timeline!L56+BS_Timeline!M56)/2),"")</f>
        <v/>
      </c>
      <c r="M104" s="3">
        <f>IFERROR(IS_Flow!O48/((BS_Timeline!M56+BS_Timeline!N56)/2),"")</f>
        <v/>
      </c>
      <c r="N104" s="3">
        <f>IFERROR(IS_Flow!Q48/((BS_Timeline!N56+BS_Timeline!O56)/2),"")</f>
        <v/>
      </c>
      <c r="O104" s="3">
        <f>IFERROR(IS_Flow!R48/((BS_Timeline!O56+BS_Timeline!P56)/2),"")</f>
        <v/>
      </c>
      <c r="P104" s="3">
        <f>IFERROR(IS_Flow!S48/((BS_Timeline!P56+BS_Timeline!Q56)/2),"")</f>
        <v/>
      </c>
      <c r="Q104" s="3">
        <f>IFERROR(IS_Flow!T48/((BS_Timeline!Q56+BS_Timeline!R56)/2),"")</f>
        <v/>
      </c>
      <c r="R104" s="3">
        <f>IFERROR(IS_Flow!V48/((BS_Timeline!R56+BS_Timeline!S56)/2),"")</f>
        <v/>
      </c>
      <c r="S104" s="3">
        <f>IFERROR(IS_Flow!W48/((BS_Timeline!S56+BS_Timeline!T56)/2),"")</f>
        <v/>
      </c>
      <c r="T104" s="3">
        <f>IFERROR(IS_Flow!X48/((BS_Timeline!T56+BS_Timeline!U56)/2),"")</f>
        <v/>
      </c>
      <c r="U104" s="3">
        <f>IFERROR(IS_Flow!Y48/((BS_Timeline!U56+BS_Timeline!V56)/2),"")</f>
        <v/>
      </c>
    </row>
    <row r="105">
      <c r="A105" s="1" t="inlineStr">
        <is>
          <t>D/E (เท่า)</t>
        </is>
      </c>
      <c r="B105" s="4">
        <f>IFERROR(BS_Timeline!C57/BS_Timeline!C56,"")</f>
        <v/>
      </c>
      <c r="C105" s="4">
        <f>IFERROR(BS_Timeline!D57/BS_Timeline!D56,"")</f>
        <v/>
      </c>
      <c r="D105" s="4">
        <f>IFERROR(BS_Timeline!E57/BS_Timeline!E56,"")</f>
        <v/>
      </c>
      <c r="E105" s="4">
        <f>IFERROR(BS_Timeline!F57/BS_Timeline!F56,"")</f>
        <v/>
      </c>
      <c r="F105" s="4">
        <f>IFERROR(BS_Timeline!G57/BS_Timeline!G56,"")</f>
        <v/>
      </c>
      <c r="G105" s="4">
        <f>IFERROR(BS_Timeline!H57/BS_Timeline!H56,"")</f>
        <v/>
      </c>
      <c r="H105" s="4">
        <f>IFERROR(BS_Timeline!I57/BS_Timeline!I56,"")</f>
        <v/>
      </c>
      <c r="I105" s="4">
        <f>IFERROR(BS_Timeline!J57/BS_Timeline!J56,"")</f>
        <v/>
      </c>
      <c r="J105" s="4">
        <f>IFERROR(BS_Timeline!K57/BS_Timeline!K56,"")</f>
        <v/>
      </c>
      <c r="K105" s="4">
        <f>IFERROR(BS_Timeline!L57/BS_Timeline!L56,"")</f>
        <v/>
      </c>
      <c r="L105" s="4">
        <f>IFERROR(BS_Timeline!M57/BS_Timeline!M56,"")</f>
        <v/>
      </c>
      <c r="M105" s="4">
        <f>IFERROR(BS_Timeline!N57/BS_Timeline!N56,"")</f>
        <v/>
      </c>
      <c r="N105" s="4">
        <f>IFERROR(BS_Timeline!O57/BS_Timeline!O56,"")</f>
        <v/>
      </c>
      <c r="O105" s="4">
        <f>IFERROR(BS_Timeline!P57/BS_Timeline!P56,"")</f>
        <v/>
      </c>
      <c r="P105" s="4">
        <f>IFERROR(BS_Timeline!Q57/BS_Timeline!Q56,"")</f>
        <v/>
      </c>
      <c r="Q105" s="4">
        <f>IFERROR(BS_Timeline!R57/BS_Timeline!R56,"")</f>
        <v/>
      </c>
      <c r="R105" s="4">
        <f>IFERROR(BS_Timeline!S57/BS_Timeline!S56,"")</f>
        <v/>
      </c>
      <c r="S105" s="4">
        <f>IFERROR(BS_Timeline!T57/BS_Timeline!T56,"")</f>
        <v/>
      </c>
      <c r="T105" s="4">
        <f>IFERROR(BS_Timeline!U57/BS_Timeline!U56,"")</f>
        <v/>
      </c>
      <c r="U105" s="4">
        <f>IFERROR(BS_Timeline!V57/BS_Timeline!V56,"")</f>
        <v/>
      </c>
    </row>
    <row r="106">
      <c r="A106" s="7" t="inlineStr">
        <is>
          <t>■ SHR</t>
        </is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1" t="inlineStr">
        <is>
          <t>รายได้รวม (ล้านบาท)</t>
        </is>
      </c>
      <c r="B107" s="4">
        <f>IS_Flow!B51</f>
        <v/>
      </c>
      <c r="C107" s="4">
        <f>IS_Flow!C51</f>
        <v/>
      </c>
      <c r="D107" s="4">
        <f>IS_Flow!D51</f>
        <v/>
      </c>
      <c r="E107" s="4">
        <f>IS_Flow!E51</f>
        <v/>
      </c>
      <c r="F107" s="4">
        <f>IS_Flow!G51</f>
        <v/>
      </c>
      <c r="G107" s="4">
        <f>IS_Flow!H51</f>
        <v/>
      </c>
      <c r="H107" s="4">
        <f>IS_Flow!I51</f>
        <v/>
      </c>
      <c r="I107" s="4">
        <f>IS_Flow!J51</f>
        <v/>
      </c>
      <c r="J107" s="4">
        <f>IS_Flow!L51</f>
        <v/>
      </c>
      <c r="K107" s="4">
        <f>IS_Flow!M51</f>
        <v/>
      </c>
      <c r="L107" s="4">
        <f>IS_Flow!N51</f>
        <v/>
      </c>
      <c r="M107" s="4">
        <f>IS_Flow!O51</f>
        <v/>
      </c>
      <c r="N107" s="4">
        <f>IS_Flow!Q51</f>
        <v/>
      </c>
      <c r="O107" s="4">
        <f>IS_Flow!R51</f>
        <v/>
      </c>
      <c r="P107" s="4">
        <f>IS_Flow!S51</f>
        <v/>
      </c>
      <c r="Q107" s="4">
        <f>IS_Flow!T51</f>
        <v/>
      </c>
      <c r="R107" s="4">
        <f>IS_Flow!V51</f>
        <v/>
      </c>
      <c r="S107" s="4">
        <f>IS_Flow!W51</f>
        <v/>
      </c>
      <c r="T107" s="4">
        <f>IS_Flow!X51</f>
        <v/>
      </c>
      <c r="U107" s="4">
        <f>IS_Flow!Y51</f>
        <v/>
      </c>
    </row>
    <row r="108">
      <c r="A108" s="1" t="inlineStr">
        <is>
          <t>ต้นทุนขาย (ล้านบาท)</t>
        </is>
      </c>
      <c r="B108" s="4">
        <f>IS_Flow!B53</f>
        <v/>
      </c>
      <c r="C108" s="4">
        <f>IS_Flow!C53</f>
        <v/>
      </c>
      <c r="D108" s="4">
        <f>IS_Flow!D53</f>
        <v/>
      </c>
      <c r="E108" s="4">
        <f>IS_Flow!E53</f>
        <v/>
      </c>
      <c r="F108" s="4">
        <f>IS_Flow!G53</f>
        <v/>
      </c>
      <c r="G108" s="4">
        <f>IS_Flow!H53</f>
        <v/>
      </c>
      <c r="H108" s="4">
        <f>IS_Flow!I53</f>
        <v/>
      </c>
      <c r="I108" s="4">
        <f>IS_Flow!J53</f>
        <v/>
      </c>
      <c r="J108" s="4">
        <f>IS_Flow!L53</f>
        <v/>
      </c>
      <c r="K108" s="4">
        <f>IS_Flow!M53</f>
        <v/>
      </c>
      <c r="L108" s="4">
        <f>IS_Flow!N53</f>
        <v/>
      </c>
      <c r="M108" s="4">
        <f>IS_Flow!O53</f>
        <v/>
      </c>
      <c r="N108" s="4">
        <f>IS_Flow!Q53</f>
        <v/>
      </c>
      <c r="O108" s="4">
        <f>IS_Flow!R53</f>
        <v/>
      </c>
      <c r="P108" s="4">
        <f>IS_Flow!S53</f>
        <v/>
      </c>
      <c r="Q108" s="4">
        <f>IS_Flow!T53</f>
        <v/>
      </c>
      <c r="R108" s="4">
        <f>IS_Flow!V53</f>
        <v/>
      </c>
      <c r="S108" s="4">
        <f>IS_Flow!W53</f>
        <v/>
      </c>
      <c r="T108" s="4">
        <f>IS_Flow!X53</f>
        <v/>
      </c>
      <c r="U108" s="4">
        <f>IS_Flow!Y53</f>
        <v/>
      </c>
    </row>
    <row r="109">
      <c r="A109" s="1" t="inlineStr">
        <is>
          <t>กำไรสุทธิ (ล้านบาท)</t>
        </is>
      </c>
      <c r="B109" s="4">
        <f>IS_Flow!B54</f>
        <v/>
      </c>
      <c r="C109" s="4">
        <f>IS_Flow!C54</f>
        <v/>
      </c>
      <c r="D109" s="4">
        <f>IS_Flow!D54</f>
        <v/>
      </c>
      <c r="E109" s="4">
        <f>IS_Flow!E54</f>
        <v/>
      </c>
      <c r="F109" s="4">
        <f>IS_Flow!G54</f>
        <v/>
      </c>
      <c r="G109" s="4">
        <f>IS_Flow!H54</f>
        <v/>
      </c>
      <c r="H109" s="4">
        <f>IS_Flow!I54</f>
        <v/>
      </c>
      <c r="I109" s="4">
        <f>IS_Flow!J54</f>
        <v/>
      </c>
      <c r="J109" s="4">
        <f>IS_Flow!L54</f>
        <v/>
      </c>
      <c r="K109" s="4">
        <f>IS_Flow!M54</f>
        <v/>
      </c>
      <c r="L109" s="4">
        <f>IS_Flow!N54</f>
        <v/>
      </c>
      <c r="M109" s="4">
        <f>IS_Flow!O54</f>
        <v/>
      </c>
      <c r="N109" s="4">
        <f>IS_Flow!Q54</f>
        <v/>
      </c>
      <c r="O109" s="4">
        <f>IS_Flow!R54</f>
        <v/>
      </c>
      <c r="P109" s="4">
        <f>IS_Flow!S54</f>
        <v/>
      </c>
      <c r="Q109" s="4">
        <f>IS_Flow!T54</f>
        <v/>
      </c>
      <c r="R109" s="4">
        <f>IS_Flow!V54</f>
        <v/>
      </c>
      <c r="S109" s="4">
        <f>IS_Flow!W54</f>
        <v/>
      </c>
      <c r="T109" s="4">
        <f>IS_Flow!X54</f>
        <v/>
      </c>
      <c r="U109" s="4">
        <f>IS_Flow!Y54</f>
        <v/>
      </c>
    </row>
    <row r="110">
      <c r="A110" s="1" t="inlineStr">
        <is>
          <t>NPM (%)</t>
        </is>
      </c>
      <c r="B110" s="3">
        <f>IFERROR(IS_Flow!B54/IS_Flow!B51,"")</f>
        <v/>
      </c>
      <c r="C110" s="3">
        <f>IFERROR(IS_Flow!C54/IS_Flow!C51,"")</f>
        <v/>
      </c>
      <c r="D110" s="3">
        <f>IFERROR(IS_Flow!D54/IS_Flow!D51,"")</f>
        <v/>
      </c>
      <c r="E110" s="3">
        <f>IFERROR(IS_Flow!E54/IS_Flow!E51,"")</f>
        <v/>
      </c>
      <c r="F110" s="3">
        <f>IFERROR(IS_Flow!G54/IS_Flow!G51,"")</f>
        <v/>
      </c>
      <c r="G110" s="3">
        <f>IFERROR(IS_Flow!H54/IS_Flow!H51,"")</f>
        <v/>
      </c>
      <c r="H110" s="3">
        <f>IFERROR(IS_Flow!I54/IS_Flow!I51,"")</f>
        <v/>
      </c>
      <c r="I110" s="3">
        <f>IFERROR(IS_Flow!J54/IS_Flow!J51,"")</f>
        <v/>
      </c>
      <c r="J110" s="3">
        <f>IFERROR(IS_Flow!L54/IS_Flow!L51,"")</f>
        <v/>
      </c>
      <c r="K110" s="3">
        <f>IFERROR(IS_Flow!M54/IS_Flow!M51,"")</f>
        <v/>
      </c>
      <c r="L110" s="3">
        <f>IFERROR(IS_Flow!N54/IS_Flow!N51,"")</f>
        <v/>
      </c>
      <c r="M110" s="3">
        <f>IFERROR(IS_Flow!O54/IS_Flow!O51,"")</f>
        <v/>
      </c>
      <c r="N110" s="3">
        <f>IFERROR(IS_Flow!Q54/IS_Flow!Q51,"")</f>
        <v/>
      </c>
      <c r="O110" s="3">
        <f>IFERROR(IS_Flow!R54/IS_Flow!R51,"")</f>
        <v/>
      </c>
      <c r="P110" s="3">
        <f>IFERROR(IS_Flow!S54/IS_Flow!S51,"")</f>
        <v/>
      </c>
      <c r="Q110" s="3">
        <f>IFERROR(IS_Flow!T54/IS_Flow!T51,"")</f>
        <v/>
      </c>
      <c r="R110" s="3">
        <f>IFERROR(IS_Flow!V54/IS_Flow!V51,"")</f>
        <v/>
      </c>
      <c r="S110" s="3">
        <f>IFERROR(IS_Flow!W54/IS_Flow!W51,"")</f>
        <v/>
      </c>
      <c r="T110" s="3">
        <f>IFERROR(IS_Flow!X54/IS_Flow!X51,"")</f>
        <v/>
      </c>
      <c r="U110" s="3">
        <f>IFERROR(IS_Flow!Y54/IS_Flow!Y51,"")</f>
        <v/>
      </c>
    </row>
    <row r="111">
      <c r="A111" s="1" t="inlineStr">
        <is>
          <t>Gross Margin (%)</t>
        </is>
      </c>
      <c r="B111" s="3">
        <f>IFERROR((IS_Flow!B51-IS_Flow!B52-IS_Flow!B53)/(IS_Flow!B51-IS_Flow!B52),"")</f>
        <v/>
      </c>
      <c r="C111" s="3">
        <f>IFERROR((IS_Flow!C51-IS_Flow!C52-IS_Flow!C53)/(IS_Flow!C51-IS_Flow!C52),"")</f>
        <v/>
      </c>
      <c r="D111" s="3">
        <f>IFERROR((IS_Flow!D51-IS_Flow!D52-IS_Flow!D53)/(IS_Flow!D51-IS_Flow!D52),"")</f>
        <v/>
      </c>
      <c r="E111" s="3">
        <f>IFERROR((IS_Flow!E51-IS_Flow!E52-IS_Flow!E53)/(IS_Flow!E51-IS_Flow!E52),"")</f>
        <v/>
      </c>
      <c r="F111" s="3">
        <f>IFERROR((IS_Flow!G51-IS_Flow!G52-IS_Flow!G53)/(IS_Flow!G51-IS_Flow!G52),"")</f>
        <v/>
      </c>
      <c r="G111" s="3">
        <f>IFERROR((IS_Flow!H51-IS_Flow!H52-IS_Flow!H53)/(IS_Flow!H51-IS_Flow!H52),"")</f>
        <v/>
      </c>
      <c r="H111" s="3">
        <f>IFERROR((IS_Flow!I51-IS_Flow!I52-IS_Flow!I53)/(IS_Flow!I51-IS_Flow!I52),"")</f>
        <v/>
      </c>
      <c r="I111" s="3">
        <f>IFERROR((IS_Flow!J51-IS_Flow!J52-IS_Flow!J53)/(IS_Flow!J51-IS_Flow!J52),"")</f>
        <v/>
      </c>
      <c r="J111" s="3">
        <f>IFERROR((IS_Flow!L51-IS_Flow!L52-IS_Flow!L53)/(IS_Flow!L51-IS_Flow!L52),"")</f>
        <v/>
      </c>
      <c r="K111" s="3">
        <f>IFERROR((IS_Flow!M51-IS_Flow!M52-IS_Flow!M53)/(IS_Flow!M51-IS_Flow!M52),"")</f>
        <v/>
      </c>
      <c r="L111" s="3">
        <f>IFERROR((IS_Flow!N51-IS_Flow!N52-IS_Flow!N53)/(IS_Flow!N51-IS_Flow!N52),"")</f>
        <v/>
      </c>
      <c r="M111" s="3">
        <f>IFERROR((IS_Flow!O51-IS_Flow!O52-IS_Flow!O53)/(IS_Flow!O51-IS_Flow!O52),"")</f>
        <v/>
      </c>
      <c r="N111" s="3">
        <f>IFERROR((IS_Flow!Q51-IS_Flow!Q52-IS_Flow!Q53)/(IS_Flow!Q51-IS_Flow!Q52),"")</f>
        <v/>
      </c>
      <c r="O111" s="3">
        <f>IFERROR((IS_Flow!R51-IS_Flow!R52-IS_Flow!R53)/(IS_Flow!R51-IS_Flow!R52),"")</f>
        <v/>
      </c>
      <c r="P111" s="3">
        <f>IFERROR((IS_Flow!S51-IS_Flow!S52-IS_Flow!S53)/(IS_Flow!S51-IS_Flow!S52),"")</f>
        <v/>
      </c>
      <c r="Q111" s="3">
        <f>IFERROR((IS_Flow!T51-IS_Flow!T52-IS_Flow!T53)/(IS_Flow!T51-IS_Flow!T52),"")</f>
        <v/>
      </c>
      <c r="R111" s="3">
        <f>IFERROR((IS_Flow!V51-IS_Flow!V52-IS_Flow!V53)/(IS_Flow!V51-IS_Flow!V52),"")</f>
        <v/>
      </c>
      <c r="S111" s="3">
        <f>IFERROR((IS_Flow!W51-IS_Flow!W52-IS_Flow!W53)/(IS_Flow!W51-IS_Flow!W52),"")</f>
        <v/>
      </c>
      <c r="T111" s="3">
        <f>IFERROR((IS_Flow!X51-IS_Flow!X52-IS_Flow!X53)/(IS_Flow!X51-IS_Flow!X52),"")</f>
        <v/>
      </c>
      <c r="U111" s="3">
        <f>IFERROR((IS_Flow!Y51-IS_Flow!Y52-IS_Flow!Y53)/(IS_Flow!Y51-IS_Flow!Y52),"")</f>
        <v/>
      </c>
    </row>
    <row r="112">
      <c r="A112" s="1" t="inlineStr">
        <is>
          <t>DSO (วัน)</t>
        </is>
      </c>
      <c r="B112" s="4">
        <f>IFERROR(((BS_Timeline!B59+BS_Timeline!C59)/2)/IS_Flow!B51*90,"")</f>
        <v/>
      </c>
      <c r="C112" s="4">
        <f>IFERROR(((BS_Timeline!C59+BS_Timeline!D59)/2)/IS_Flow!C51*91,"")</f>
        <v/>
      </c>
      <c r="D112" s="4">
        <f>IFERROR(((BS_Timeline!D59+BS_Timeline!E59)/2)/IS_Flow!D51*92,"")</f>
        <v/>
      </c>
      <c r="E112" s="4">
        <f>IFERROR(((BS_Timeline!E59+BS_Timeline!F59)/2)/IS_Flow!E51*92,"")</f>
        <v/>
      </c>
      <c r="F112" s="4">
        <f>IFERROR(((BS_Timeline!F59+BS_Timeline!G59)/2)/IS_Flow!G51*90,"")</f>
        <v/>
      </c>
      <c r="G112" s="4">
        <f>IFERROR(((BS_Timeline!G59+BS_Timeline!H59)/2)/IS_Flow!H51*91,"")</f>
        <v/>
      </c>
      <c r="H112" s="4">
        <f>IFERROR(((BS_Timeline!H59+BS_Timeline!I59)/2)/IS_Flow!I51*92,"")</f>
        <v/>
      </c>
      <c r="I112" s="4">
        <f>IFERROR(((BS_Timeline!I59+BS_Timeline!J59)/2)/IS_Flow!J51*92,"")</f>
        <v/>
      </c>
      <c r="J112" s="4">
        <f>IFERROR(((BS_Timeline!J59+BS_Timeline!K59)/2)/IS_Flow!L51*90,"")</f>
        <v/>
      </c>
      <c r="K112" s="4">
        <f>IFERROR(((BS_Timeline!K59+BS_Timeline!L59)/2)/IS_Flow!M51*91,"")</f>
        <v/>
      </c>
      <c r="L112" s="4">
        <f>IFERROR(((BS_Timeline!L59+BS_Timeline!M59)/2)/IS_Flow!N51*92,"")</f>
        <v/>
      </c>
      <c r="M112" s="4">
        <f>IFERROR(((BS_Timeline!M59+BS_Timeline!N59)/2)/IS_Flow!O51*92,"")</f>
        <v/>
      </c>
      <c r="N112" s="4">
        <f>IFERROR(((BS_Timeline!N59+BS_Timeline!O59)/2)/IS_Flow!Q51*90,"")</f>
        <v/>
      </c>
      <c r="O112" s="4">
        <f>IFERROR(((BS_Timeline!O59+BS_Timeline!P59)/2)/IS_Flow!R51*91,"")</f>
        <v/>
      </c>
      <c r="P112" s="4">
        <f>IFERROR(((BS_Timeline!P59+BS_Timeline!Q59)/2)/IS_Flow!S51*92,"")</f>
        <v/>
      </c>
      <c r="Q112" s="4">
        <f>IFERROR(((BS_Timeline!Q59+BS_Timeline!R59)/2)/IS_Flow!T51*92,"")</f>
        <v/>
      </c>
      <c r="R112" s="4">
        <f>IFERROR(((BS_Timeline!R59+BS_Timeline!S59)/2)/IS_Flow!V51*90,"")</f>
        <v/>
      </c>
      <c r="S112" s="4">
        <f>IFERROR(((BS_Timeline!S59+BS_Timeline!T59)/2)/IS_Flow!W51*91,"")</f>
        <v/>
      </c>
      <c r="T112" s="4">
        <f>IFERROR(((BS_Timeline!T59+BS_Timeline!U59)/2)/IS_Flow!X51*92,"")</f>
        <v/>
      </c>
      <c r="U112" s="4">
        <f>IFERROR(((BS_Timeline!U59+BS_Timeline!V59)/2)/IS_Flow!Y51*92,"")</f>
        <v/>
      </c>
    </row>
    <row r="113">
      <c r="A113" s="1" t="inlineStr">
        <is>
          <t>DIO (วัน)</t>
        </is>
      </c>
      <c r="B113" s="4">
        <f>IFERROR(((BS_Timeline!B60+BS_Timeline!C60)/2)/IS_Flow!B53*90,"")</f>
        <v/>
      </c>
      <c r="C113" s="4">
        <f>IFERROR(((BS_Timeline!C60+BS_Timeline!D60)/2)/IS_Flow!C53*91,"")</f>
        <v/>
      </c>
      <c r="D113" s="4">
        <f>IFERROR(((BS_Timeline!D60+BS_Timeline!E60)/2)/IS_Flow!D53*92,"")</f>
        <v/>
      </c>
      <c r="E113" s="4">
        <f>IFERROR(((BS_Timeline!E60+BS_Timeline!F60)/2)/IS_Flow!E53*92,"")</f>
        <v/>
      </c>
      <c r="F113" s="4">
        <f>IFERROR(((BS_Timeline!F60+BS_Timeline!G60)/2)/IS_Flow!G53*90,"")</f>
        <v/>
      </c>
      <c r="G113" s="4">
        <f>IFERROR(((BS_Timeline!G60+BS_Timeline!H60)/2)/IS_Flow!H53*91,"")</f>
        <v/>
      </c>
      <c r="H113" s="4">
        <f>IFERROR(((BS_Timeline!H60+BS_Timeline!I60)/2)/IS_Flow!I53*92,"")</f>
        <v/>
      </c>
      <c r="I113" s="4">
        <f>IFERROR(((BS_Timeline!I60+BS_Timeline!J60)/2)/IS_Flow!J53*92,"")</f>
        <v/>
      </c>
      <c r="J113" s="4">
        <f>IFERROR(((BS_Timeline!J60+BS_Timeline!K60)/2)/IS_Flow!L53*90,"")</f>
        <v/>
      </c>
      <c r="K113" s="4">
        <f>IFERROR(((BS_Timeline!K60+BS_Timeline!L60)/2)/IS_Flow!M53*91,"")</f>
        <v/>
      </c>
      <c r="L113" s="4">
        <f>IFERROR(((BS_Timeline!L60+BS_Timeline!M60)/2)/IS_Flow!N53*92,"")</f>
        <v/>
      </c>
      <c r="M113" s="4">
        <f>IFERROR(((BS_Timeline!M60+BS_Timeline!N60)/2)/IS_Flow!O53*92,"")</f>
        <v/>
      </c>
      <c r="N113" s="4">
        <f>IFERROR(((BS_Timeline!N60+BS_Timeline!O60)/2)/IS_Flow!Q53*90,"")</f>
        <v/>
      </c>
      <c r="O113" s="4">
        <f>IFERROR(((BS_Timeline!O60+BS_Timeline!P60)/2)/IS_Flow!R53*91,"")</f>
        <v/>
      </c>
      <c r="P113" s="4">
        <f>IFERROR(((BS_Timeline!P60+BS_Timeline!Q60)/2)/IS_Flow!S53*92,"")</f>
        <v/>
      </c>
      <c r="Q113" s="4">
        <f>IFERROR(((BS_Timeline!Q60+BS_Timeline!R60)/2)/IS_Flow!T53*92,"")</f>
        <v/>
      </c>
      <c r="R113" s="4">
        <f>IFERROR(((BS_Timeline!R60+BS_Timeline!S60)/2)/IS_Flow!V53*90,"")</f>
        <v/>
      </c>
      <c r="S113" s="4">
        <f>IFERROR(((BS_Timeline!S60+BS_Timeline!T60)/2)/IS_Flow!W53*91,"")</f>
        <v/>
      </c>
      <c r="T113" s="4">
        <f>IFERROR(((BS_Timeline!T60+BS_Timeline!U60)/2)/IS_Flow!X53*92,"")</f>
        <v/>
      </c>
      <c r="U113" s="4">
        <f>IFERROR(((BS_Timeline!U60+BS_Timeline!V60)/2)/IS_Flow!Y53*92,"")</f>
        <v/>
      </c>
    </row>
    <row r="114">
      <c r="A114" s="1" t="inlineStr">
        <is>
          <t>DPO (วัน)</t>
        </is>
      </c>
      <c r="B114" s="4">
        <f>IFERROR(((BS_Timeline!B61+BS_Timeline!C61)/2)/IS_Flow!B53*90,"")</f>
        <v/>
      </c>
      <c r="C114" s="4">
        <f>IFERROR(((BS_Timeline!C61+BS_Timeline!D61)/2)/IS_Flow!C53*91,"")</f>
        <v/>
      </c>
      <c r="D114" s="4">
        <f>IFERROR(((BS_Timeline!D61+BS_Timeline!E61)/2)/IS_Flow!D53*92,"")</f>
        <v/>
      </c>
      <c r="E114" s="4">
        <f>IFERROR(((BS_Timeline!E61+BS_Timeline!F61)/2)/IS_Flow!E53*92,"")</f>
        <v/>
      </c>
      <c r="F114" s="4">
        <f>IFERROR(((BS_Timeline!F61+BS_Timeline!G61)/2)/IS_Flow!G53*90,"")</f>
        <v/>
      </c>
      <c r="G114" s="4">
        <f>IFERROR(((BS_Timeline!G61+BS_Timeline!H61)/2)/IS_Flow!H53*91,"")</f>
        <v/>
      </c>
      <c r="H114" s="4">
        <f>IFERROR(((BS_Timeline!H61+BS_Timeline!I61)/2)/IS_Flow!I53*92,"")</f>
        <v/>
      </c>
      <c r="I114" s="4">
        <f>IFERROR(((BS_Timeline!I61+BS_Timeline!J61)/2)/IS_Flow!J53*92,"")</f>
        <v/>
      </c>
      <c r="J114" s="4">
        <f>IFERROR(((BS_Timeline!J61+BS_Timeline!K61)/2)/IS_Flow!L53*90,"")</f>
        <v/>
      </c>
      <c r="K114" s="4">
        <f>IFERROR(((BS_Timeline!K61+BS_Timeline!L61)/2)/IS_Flow!M53*91,"")</f>
        <v/>
      </c>
      <c r="L114" s="4">
        <f>IFERROR(((BS_Timeline!L61+BS_Timeline!M61)/2)/IS_Flow!N53*92,"")</f>
        <v/>
      </c>
      <c r="M114" s="4">
        <f>IFERROR(((BS_Timeline!M61+BS_Timeline!N61)/2)/IS_Flow!O53*92,"")</f>
        <v/>
      </c>
      <c r="N114" s="4">
        <f>IFERROR(((BS_Timeline!N61+BS_Timeline!O61)/2)/IS_Flow!Q53*90,"")</f>
        <v/>
      </c>
      <c r="O114" s="4">
        <f>IFERROR(((BS_Timeline!O61+BS_Timeline!P61)/2)/IS_Flow!R53*91,"")</f>
        <v/>
      </c>
      <c r="P114" s="4">
        <f>IFERROR(((BS_Timeline!P61+BS_Timeline!Q61)/2)/IS_Flow!S53*92,"")</f>
        <v/>
      </c>
      <c r="Q114" s="4">
        <f>IFERROR(((BS_Timeline!Q61+BS_Timeline!R61)/2)/IS_Flow!T53*92,"")</f>
        <v/>
      </c>
      <c r="R114" s="4">
        <f>IFERROR(((BS_Timeline!R61+BS_Timeline!S61)/2)/IS_Flow!V53*90,"")</f>
        <v/>
      </c>
      <c r="S114" s="4">
        <f>IFERROR(((BS_Timeline!S61+BS_Timeline!T61)/2)/IS_Flow!W53*91,"")</f>
        <v/>
      </c>
      <c r="T114" s="4">
        <f>IFERROR(((BS_Timeline!T61+BS_Timeline!U61)/2)/IS_Flow!X53*92,"")</f>
        <v/>
      </c>
      <c r="U114" s="4">
        <f>IFERROR(((BS_Timeline!U61+BS_Timeline!V61)/2)/IS_Flow!Y53*92,"")</f>
        <v/>
      </c>
    </row>
    <row r="115">
      <c r="A115" s="1" t="inlineStr">
        <is>
          <t>CCC (วัน)</t>
        </is>
      </c>
      <c r="B115" s="4">
        <f>IFERROR(B112+B113-B114,"")</f>
        <v/>
      </c>
      <c r="C115" s="4">
        <f>IFERROR(C112+C113-C114,"")</f>
        <v/>
      </c>
      <c r="D115" s="4">
        <f>IFERROR(D112+D113-D114,"")</f>
        <v/>
      </c>
      <c r="E115" s="4">
        <f>IFERROR(E112+E113-E114,"")</f>
        <v/>
      </c>
      <c r="F115" s="4">
        <f>IFERROR(F112+F113-F114,"")</f>
        <v/>
      </c>
      <c r="G115" s="4">
        <f>IFERROR(G112+G113-G114,"")</f>
        <v/>
      </c>
      <c r="H115" s="4">
        <f>IFERROR(H112+H113-H114,"")</f>
        <v/>
      </c>
      <c r="I115" s="4">
        <f>IFERROR(I112+I113-I114,"")</f>
        <v/>
      </c>
      <c r="J115" s="4">
        <f>IFERROR(J112+J113-J114,"")</f>
        <v/>
      </c>
      <c r="K115" s="4">
        <f>IFERROR(K112+K113-K114,"")</f>
        <v/>
      </c>
      <c r="L115" s="4">
        <f>IFERROR(L112+L113-L114,"")</f>
        <v/>
      </c>
      <c r="M115" s="4">
        <f>IFERROR(M112+M113-M114,"")</f>
        <v/>
      </c>
      <c r="N115" s="4">
        <f>IFERROR(N112+N113-N114,"")</f>
        <v/>
      </c>
      <c r="O115" s="4">
        <f>IFERROR(O112+O113-O114,"")</f>
        <v/>
      </c>
      <c r="P115" s="4">
        <f>IFERROR(P112+P113-P114,"")</f>
        <v/>
      </c>
      <c r="Q115" s="4">
        <f>IFERROR(Q112+Q113-Q114,"")</f>
        <v/>
      </c>
      <c r="R115" s="4">
        <f>IFERROR(R112+R113-R114,"")</f>
        <v/>
      </c>
      <c r="S115" s="4">
        <f>IFERROR(S112+S113-S114,"")</f>
        <v/>
      </c>
      <c r="T115" s="4">
        <f>IFERROR(T112+T113-T114,"")</f>
        <v/>
      </c>
      <c r="U115" s="4">
        <f>IFERROR(U112+U113-U114,"")</f>
        <v/>
      </c>
    </row>
    <row r="116">
      <c r="A116" s="1" t="inlineStr">
        <is>
          <t>ROA รายไตรมาส (%)</t>
        </is>
      </c>
      <c r="B116" s="3">
        <f>IFERROR(IS_Flow!B54/((BS_Timeline!B62+BS_Timeline!C62)/2),"")</f>
        <v/>
      </c>
      <c r="C116" s="3">
        <f>IFERROR(IS_Flow!C54/((BS_Timeline!C62+BS_Timeline!D62)/2),"")</f>
        <v/>
      </c>
      <c r="D116" s="3">
        <f>IFERROR(IS_Flow!D54/((BS_Timeline!D62+BS_Timeline!E62)/2),"")</f>
        <v/>
      </c>
      <c r="E116" s="3">
        <f>IFERROR(IS_Flow!E54/((BS_Timeline!E62+BS_Timeline!F62)/2),"")</f>
        <v/>
      </c>
      <c r="F116" s="3">
        <f>IFERROR(IS_Flow!G54/((BS_Timeline!F62+BS_Timeline!G62)/2),"")</f>
        <v/>
      </c>
      <c r="G116" s="3">
        <f>IFERROR(IS_Flow!H54/((BS_Timeline!G62+BS_Timeline!H62)/2),"")</f>
        <v/>
      </c>
      <c r="H116" s="3">
        <f>IFERROR(IS_Flow!I54/((BS_Timeline!H62+BS_Timeline!I62)/2),"")</f>
        <v/>
      </c>
      <c r="I116" s="3">
        <f>IFERROR(IS_Flow!J54/((BS_Timeline!I62+BS_Timeline!J62)/2),"")</f>
        <v/>
      </c>
      <c r="J116" s="3">
        <f>IFERROR(IS_Flow!L54/((BS_Timeline!J62+BS_Timeline!K62)/2),"")</f>
        <v/>
      </c>
      <c r="K116" s="3">
        <f>IFERROR(IS_Flow!M54/((BS_Timeline!K62+BS_Timeline!L62)/2),"")</f>
        <v/>
      </c>
      <c r="L116" s="3">
        <f>IFERROR(IS_Flow!N54/((BS_Timeline!L62+BS_Timeline!M62)/2),"")</f>
        <v/>
      </c>
      <c r="M116" s="3">
        <f>IFERROR(IS_Flow!O54/((BS_Timeline!M62+BS_Timeline!N62)/2),"")</f>
        <v/>
      </c>
      <c r="N116" s="3">
        <f>IFERROR(IS_Flow!Q54/((BS_Timeline!N62+BS_Timeline!O62)/2),"")</f>
        <v/>
      </c>
      <c r="O116" s="3">
        <f>IFERROR(IS_Flow!R54/((BS_Timeline!O62+BS_Timeline!P62)/2),"")</f>
        <v/>
      </c>
      <c r="P116" s="3">
        <f>IFERROR(IS_Flow!S54/((BS_Timeline!P62+BS_Timeline!Q62)/2),"")</f>
        <v/>
      </c>
      <c r="Q116" s="3">
        <f>IFERROR(IS_Flow!T54/((BS_Timeline!Q62+BS_Timeline!R62)/2),"")</f>
        <v/>
      </c>
      <c r="R116" s="3">
        <f>IFERROR(IS_Flow!V54/((BS_Timeline!R62+BS_Timeline!S62)/2),"")</f>
        <v/>
      </c>
      <c r="S116" s="3">
        <f>IFERROR(IS_Flow!W54/((BS_Timeline!S62+BS_Timeline!T62)/2),"")</f>
        <v/>
      </c>
      <c r="T116" s="3">
        <f>IFERROR(IS_Flow!X54/((BS_Timeline!T62+BS_Timeline!U62)/2),"")</f>
        <v/>
      </c>
      <c r="U116" s="3">
        <f>IFERROR(IS_Flow!Y54/((BS_Timeline!U62+BS_Timeline!V62)/2),"")</f>
        <v/>
      </c>
    </row>
    <row r="117">
      <c r="A117" s="1" t="inlineStr">
        <is>
          <t>ROE รายไตรมาส (%)</t>
        </is>
      </c>
      <c r="B117" s="3">
        <f>IFERROR(IS_Flow!B54/((BS_Timeline!B63+BS_Timeline!C63)/2),"")</f>
        <v/>
      </c>
      <c r="C117" s="3">
        <f>IFERROR(IS_Flow!C54/((BS_Timeline!C63+BS_Timeline!D63)/2),"")</f>
        <v/>
      </c>
      <c r="D117" s="3">
        <f>IFERROR(IS_Flow!D54/((BS_Timeline!D63+BS_Timeline!E63)/2),"")</f>
        <v/>
      </c>
      <c r="E117" s="3">
        <f>IFERROR(IS_Flow!E54/((BS_Timeline!E63+BS_Timeline!F63)/2),"")</f>
        <v/>
      </c>
      <c r="F117" s="3">
        <f>IFERROR(IS_Flow!G54/((BS_Timeline!F63+BS_Timeline!G63)/2),"")</f>
        <v/>
      </c>
      <c r="G117" s="3">
        <f>IFERROR(IS_Flow!H54/((BS_Timeline!G63+BS_Timeline!H63)/2),"")</f>
        <v/>
      </c>
      <c r="H117" s="3">
        <f>IFERROR(IS_Flow!I54/((BS_Timeline!H63+BS_Timeline!I63)/2),"")</f>
        <v/>
      </c>
      <c r="I117" s="3">
        <f>IFERROR(IS_Flow!J54/((BS_Timeline!I63+BS_Timeline!J63)/2),"")</f>
        <v/>
      </c>
      <c r="J117" s="3">
        <f>IFERROR(IS_Flow!L54/((BS_Timeline!J63+BS_Timeline!K63)/2),"")</f>
        <v/>
      </c>
      <c r="K117" s="3">
        <f>IFERROR(IS_Flow!M54/((BS_Timeline!K63+BS_Timeline!L63)/2),"")</f>
        <v/>
      </c>
      <c r="L117" s="3">
        <f>IFERROR(IS_Flow!N54/((BS_Timeline!L63+BS_Timeline!M63)/2),"")</f>
        <v/>
      </c>
      <c r="M117" s="3">
        <f>IFERROR(IS_Flow!O54/((BS_Timeline!M63+BS_Timeline!N63)/2),"")</f>
        <v/>
      </c>
      <c r="N117" s="3">
        <f>IFERROR(IS_Flow!Q54/((BS_Timeline!N63+BS_Timeline!O63)/2),"")</f>
        <v/>
      </c>
      <c r="O117" s="3">
        <f>IFERROR(IS_Flow!R54/((BS_Timeline!O63+BS_Timeline!P63)/2),"")</f>
        <v/>
      </c>
      <c r="P117" s="3">
        <f>IFERROR(IS_Flow!S54/((BS_Timeline!P63+BS_Timeline!Q63)/2),"")</f>
        <v/>
      </c>
      <c r="Q117" s="3">
        <f>IFERROR(IS_Flow!T54/((BS_Timeline!Q63+BS_Timeline!R63)/2),"")</f>
        <v/>
      </c>
      <c r="R117" s="3">
        <f>IFERROR(IS_Flow!V54/((BS_Timeline!R63+BS_Timeline!S63)/2),"")</f>
        <v/>
      </c>
      <c r="S117" s="3">
        <f>IFERROR(IS_Flow!W54/((BS_Timeline!S63+BS_Timeline!T63)/2),"")</f>
        <v/>
      </c>
      <c r="T117" s="3">
        <f>IFERROR(IS_Flow!X54/((BS_Timeline!T63+BS_Timeline!U63)/2),"")</f>
        <v/>
      </c>
      <c r="U117" s="3">
        <f>IFERROR(IS_Flow!Y54/((BS_Timeline!U63+BS_Timeline!V63)/2),"")</f>
        <v/>
      </c>
    </row>
    <row r="118">
      <c r="A118" s="1" t="inlineStr">
        <is>
          <t>D/E (เท่า)</t>
        </is>
      </c>
      <c r="B118" s="4">
        <f>IFERROR(BS_Timeline!C64/BS_Timeline!C63,"")</f>
        <v/>
      </c>
      <c r="C118" s="4">
        <f>IFERROR(BS_Timeline!D64/BS_Timeline!D63,"")</f>
        <v/>
      </c>
      <c r="D118" s="4">
        <f>IFERROR(BS_Timeline!E64/BS_Timeline!E63,"")</f>
        <v/>
      </c>
      <c r="E118" s="4">
        <f>IFERROR(BS_Timeline!F64/BS_Timeline!F63,"")</f>
        <v/>
      </c>
      <c r="F118" s="4">
        <f>IFERROR(BS_Timeline!G64/BS_Timeline!G63,"")</f>
        <v/>
      </c>
      <c r="G118" s="4">
        <f>IFERROR(BS_Timeline!H64/BS_Timeline!H63,"")</f>
        <v/>
      </c>
      <c r="H118" s="4">
        <f>IFERROR(BS_Timeline!I64/BS_Timeline!I63,"")</f>
        <v/>
      </c>
      <c r="I118" s="4">
        <f>IFERROR(BS_Timeline!J64/BS_Timeline!J63,"")</f>
        <v/>
      </c>
      <c r="J118" s="4">
        <f>IFERROR(BS_Timeline!K64/BS_Timeline!K63,"")</f>
        <v/>
      </c>
      <c r="K118" s="4">
        <f>IFERROR(BS_Timeline!L64/BS_Timeline!L63,"")</f>
        <v/>
      </c>
      <c r="L118" s="4">
        <f>IFERROR(BS_Timeline!M64/BS_Timeline!M63,"")</f>
        <v/>
      </c>
      <c r="M118" s="4">
        <f>IFERROR(BS_Timeline!N64/BS_Timeline!N63,"")</f>
        <v/>
      </c>
      <c r="N118" s="4">
        <f>IFERROR(BS_Timeline!O64/BS_Timeline!O63,"")</f>
        <v/>
      </c>
      <c r="O118" s="4">
        <f>IFERROR(BS_Timeline!P64/BS_Timeline!P63,"")</f>
        <v/>
      </c>
      <c r="P118" s="4">
        <f>IFERROR(BS_Timeline!Q64/BS_Timeline!Q63,"")</f>
        <v/>
      </c>
      <c r="Q118" s="4">
        <f>IFERROR(BS_Timeline!R64/BS_Timeline!R63,"")</f>
        <v/>
      </c>
      <c r="R118" s="4">
        <f>IFERROR(BS_Timeline!S64/BS_Timeline!S63,"")</f>
        <v/>
      </c>
      <c r="S118" s="4">
        <f>IFERROR(BS_Timeline!T64/BS_Timeline!T63,"")</f>
        <v/>
      </c>
      <c r="T118" s="4">
        <f>IFERROR(BS_Timeline!U64/BS_Timeline!U63,"")</f>
        <v/>
      </c>
      <c r="U118" s="4">
        <f>IFERROR(BS_Timeline!V64/BS_Timeline!V63,"")</f>
        <v/>
      </c>
    </row>
    <row r="119">
      <c r="A119" s="7" t="inlineStr">
        <is>
          <t>■ VRANDA</t>
        </is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1" t="inlineStr">
        <is>
          <t>รายได้รวม (ล้านบาท)</t>
        </is>
      </c>
      <c r="B120" s="4">
        <f>IS_Flow!B57</f>
        <v/>
      </c>
      <c r="C120" s="4">
        <f>IS_Flow!C57</f>
        <v/>
      </c>
      <c r="D120" s="4">
        <f>IS_Flow!D57</f>
        <v/>
      </c>
      <c r="E120" s="4">
        <f>IS_Flow!E57</f>
        <v/>
      </c>
      <c r="F120" s="4">
        <f>IS_Flow!G57</f>
        <v/>
      </c>
      <c r="G120" s="4">
        <f>IS_Flow!H57</f>
        <v/>
      </c>
      <c r="H120" s="4">
        <f>IS_Flow!I57</f>
        <v/>
      </c>
      <c r="I120" s="4">
        <f>IS_Flow!J57</f>
        <v/>
      </c>
      <c r="J120" s="4">
        <f>IS_Flow!L57</f>
        <v/>
      </c>
      <c r="K120" s="4">
        <f>IS_Flow!M57</f>
        <v/>
      </c>
      <c r="L120" s="4">
        <f>IS_Flow!N57</f>
        <v/>
      </c>
      <c r="M120" s="4">
        <f>IS_Flow!O57</f>
        <v/>
      </c>
      <c r="N120" s="4">
        <f>IS_Flow!Q57</f>
        <v/>
      </c>
      <c r="O120" s="4">
        <f>IS_Flow!R57</f>
        <v/>
      </c>
      <c r="P120" s="4">
        <f>IS_Flow!S57</f>
        <v/>
      </c>
      <c r="Q120" s="4">
        <f>IS_Flow!T57</f>
        <v/>
      </c>
      <c r="R120" s="4">
        <f>IS_Flow!V57</f>
        <v/>
      </c>
      <c r="S120" s="4">
        <f>IS_Flow!W57</f>
        <v/>
      </c>
      <c r="T120" s="4">
        <f>IS_Flow!X57</f>
        <v/>
      </c>
      <c r="U120" s="4">
        <f>IS_Flow!Y57</f>
        <v/>
      </c>
    </row>
    <row r="121">
      <c r="A121" s="1" t="inlineStr">
        <is>
          <t>ต้นทุนขาย (ล้านบาท)</t>
        </is>
      </c>
      <c r="B121" s="4">
        <f>IS_Flow!B59</f>
        <v/>
      </c>
      <c r="C121" s="4">
        <f>IS_Flow!C59</f>
        <v/>
      </c>
      <c r="D121" s="4">
        <f>IS_Flow!D59</f>
        <v/>
      </c>
      <c r="E121" s="4">
        <f>IS_Flow!E59</f>
        <v/>
      </c>
      <c r="F121" s="4">
        <f>IS_Flow!G59</f>
        <v/>
      </c>
      <c r="G121" s="4">
        <f>IS_Flow!H59</f>
        <v/>
      </c>
      <c r="H121" s="4">
        <f>IS_Flow!I59</f>
        <v/>
      </c>
      <c r="I121" s="4">
        <f>IS_Flow!J59</f>
        <v/>
      </c>
      <c r="J121" s="4">
        <f>IS_Flow!L59</f>
        <v/>
      </c>
      <c r="K121" s="4">
        <f>IS_Flow!M59</f>
        <v/>
      </c>
      <c r="L121" s="4">
        <f>IS_Flow!N59</f>
        <v/>
      </c>
      <c r="M121" s="4">
        <f>IS_Flow!O59</f>
        <v/>
      </c>
      <c r="N121" s="4">
        <f>IS_Flow!Q59</f>
        <v/>
      </c>
      <c r="O121" s="4">
        <f>IS_Flow!R59</f>
        <v/>
      </c>
      <c r="P121" s="4">
        <f>IS_Flow!S59</f>
        <v/>
      </c>
      <c r="Q121" s="4">
        <f>IS_Flow!T59</f>
        <v/>
      </c>
      <c r="R121" s="4">
        <f>IS_Flow!V59</f>
        <v/>
      </c>
      <c r="S121" s="4">
        <f>IS_Flow!W59</f>
        <v/>
      </c>
      <c r="T121" s="4">
        <f>IS_Flow!X59</f>
        <v/>
      </c>
      <c r="U121" s="4">
        <f>IS_Flow!Y59</f>
        <v/>
      </c>
    </row>
    <row r="122">
      <c r="A122" s="1" t="inlineStr">
        <is>
          <t>กำไรสุทธิ (ล้านบาท)</t>
        </is>
      </c>
      <c r="B122" s="4">
        <f>IS_Flow!B60</f>
        <v/>
      </c>
      <c r="C122" s="4">
        <f>IS_Flow!C60</f>
        <v/>
      </c>
      <c r="D122" s="4">
        <f>IS_Flow!D60</f>
        <v/>
      </c>
      <c r="E122" s="4">
        <f>IS_Flow!E60</f>
        <v/>
      </c>
      <c r="F122" s="4">
        <f>IS_Flow!G60</f>
        <v/>
      </c>
      <c r="G122" s="4">
        <f>IS_Flow!H60</f>
        <v/>
      </c>
      <c r="H122" s="4">
        <f>IS_Flow!I60</f>
        <v/>
      </c>
      <c r="I122" s="4">
        <f>IS_Flow!J60</f>
        <v/>
      </c>
      <c r="J122" s="4">
        <f>IS_Flow!L60</f>
        <v/>
      </c>
      <c r="K122" s="4">
        <f>IS_Flow!M60</f>
        <v/>
      </c>
      <c r="L122" s="4">
        <f>IS_Flow!N60</f>
        <v/>
      </c>
      <c r="M122" s="4">
        <f>IS_Flow!O60</f>
        <v/>
      </c>
      <c r="N122" s="4">
        <f>IS_Flow!Q60</f>
        <v/>
      </c>
      <c r="O122" s="4">
        <f>IS_Flow!R60</f>
        <v/>
      </c>
      <c r="P122" s="4">
        <f>IS_Flow!S60</f>
        <v/>
      </c>
      <c r="Q122" s="4">
        <f>IS_Flow!T60</f>
        <v/>
      </c>
      <c r="R122" s="4">
        <f>IS_Flow!V60</f>
        <v/>
      </c>
      <c r="S122" s="4">
        <f>IS_Flow!W60</f>
        <v/>
      </c>
      <c r="T122" s="4">
        <f>IS_Flow!X60</f>
        <v/>
      </c>
      <c r="U122" s="4">
        <f>IS_Flow!Y60</f>
        <v/>
      </c>
    </row>
    <row r="123">
      <c r="A123" s="1" t="inlineStr">
        <is>
          <t>NPM (%)</t>
        </is>
      </c>
      <c r="B123" s="3">
        <f>IFERROR(IS_Flow!B60/IS_Flow!B57,"")</f>
        <v/>
      </c>
      <c r="C123" s="3">
        <f>IFERROR(IS_Flow!C60/IS_Flow!C57,"")</f>
        <v/>
      </c>
      <c r="D123" s="3">
        <f>IFERROR(IS_Flow!D60/IS_Flow!D57,"")</f>
        <v/>
      </c>
      <c r="E123" s="3">
        <f>IFERROR(IS_Flow!E60/IS_Flow!E57,"")</f>
        <v/>
      </c>
      <c r="F123" s="3">
        <f>IFERROR(IS_Flow!G60/IS_Flow!G57,"")</f>
        <v/>
      </c>
      <c r="G123" s="3">
        <f>IFERROR(IS_Flow!H60/IS_Flow!H57,"")</f>
        <v/>
      </c>
      <c r="H123" s="3">
        <f>IFERROR(IS_Flow!I60/IS_Flow!I57,"")</f>
        <v/>
      </c>
      <c r="I123" s="3">
        <f>IFERROR(IS_Flow!J60/IS_Flow!J57,"")</f>
        <v/>
      </c>
      <c r="J123" s="3">
        <f>IFERROR(IS_Flow!L60/IS_Flow!L57,"")</f>
        <v/>
      </c>
      <c r="K123" s="3">
        <f>IFERROR(IS_Flow!M60/IS_Flow!M57,"")</f>
        <v/>
      </c>
      <c r="L123" s="3">
        <f>IFERROR(IS_Flow!N60/IS_Flow!N57,"")</f>
        <v/>
      </c>
      <c r="M123" s="3">
        <f>IFERROR(IS_Flow!O60/IS_Flow!O57,"")</f>
        <v/>
      </c>
      <c r="N123" s="3">
        <f>IFERROR(IS_Flow!Q60/IS_Flow!Q57,"")</f>
        <v/>
      </c>
      <c r="O123" s="3">
        <f>IFERROR(IS_Flow!R60/IS_Flow!R57,"")</f>
        <v/>
      </c>
      <c r="P123" s="3">
        <f>IFERROR(IS_Flow!S60/IS_Flow!S57,"")</f>
        <v/>
      </c>
      <c r="Q123" s="3">
        <f>IFERROR(IS_Flow!T60/IS_Flow!T57,"")</f>
        <v/>
      </c>
      <c r="R123" s="3">
        <f>IFERROR(IS_Flow!V60/IS_Flow!V57,"")</f>
        <v/>
      </c>
      <c r="S123" s="3">
        <f>IFERROR(IS_Flow!W60/IS_Flow!W57,"")</f>
        <v/>
      </c>
      <c r="T123" s="3">
        <f>IFERROR(IS_Flow!X60/IS_Flow!X57,"")</f>
        <v/>
      </c>
      <c r="U123" s="3">
        <f>IFERROR(IS_Flow!Y60/IS_Flow!Y57,"")</f>
        <v/>
      </c>
    </row>
    <row r="124">
      <c r="A124" s="1" t="inlineStr">
        <is>
          <t>Gross Margin (%)</t>
        </is>
      </c>
      <c r="B124" s="3">
        <f>IFERROR((IS_Flow!B57-IS_Flow!B58-IS_Flow!B59)/(IS_Flow!B57-IS_Flow!B58),"")</f>
        <v/>
      </c>
      <c r="C124" s="3">
        <f>IFERROR((IS_Flow!C57-IS_Flow!C58-IS_Flow!C59)/(IS_Flow!C57-IS_Flow!C58),"")</f>
        <v/>
      </c>
      <c r="D124" s="3">
        <f>IFERROR((IS_Flow!D57-IS_Flow!D58-IS_Flow!D59)/(IS_Flow!D57-IS_Flow!D58),"")</f>
        <v/>
      </c>
      <c r="E124" s="3">
        <f>IFERROR((IS_Flow!E57-IS_Flow!E58-IS_Flow!E59)/(IS_Flow!E57-IS_Flow!E58),"")</f>
        <v/>
      </c>
      <c r="F124" s="3">
        <f>IFERROR((IS_Flow!G57-IS_Flow!G58-IS_Flow!G59)/(IS_Flow!G57-IS_Flow!G58),"")</f>
        <v/>
      </c>
      <c r="G124" s="3">
        <f>IFERROR((IS_Flow!H57-IS_Flow!H58-IS_Flow!H59)/(IS_Flow!H57-IS_Flow!H58),"")</f>
        <v/>
      </c>
      <c r="H124" s="3">
        <f>IFERROR((IS_Flow!I57-IS_Flow!I58-IS_Flow!I59)/(IS_Flow!I57-IS_Flow!I58),"")</f>
        <v/>
      </c>
      <c r="I124" s="3">
        <f>IFERROR((IS_Flow!J57-IS_Flow!J58-IS_Flow!J59)/(IS_Flow!J57-IS_Flow!J58),"")</f>
        <v/>
      </c>
      <c r="J124" s="3">
        <f>IFERROR((IS_Flow!L57-IS_Flow!L58-IS_Flow!L59)/(IS_Flow!L57-IS_Flow!L58),"")</f>
        <v/>
      </c>
      <c r="K124" s="3">
        <f>IFERROR((IS_Flow!M57-IS_Flow!M58-IS_Flow!M59)/(IS_Flow!M57-IS_Flow!M58),"")</f>
        <v/>
      </c>
      <c r="L124" s="3">
        <f>IFERROR((IS_Flow!N57-IS_Flow!N58-IS_Flow!N59)/(IS_Flow!N57-IS_Flow!N58),"")</f>
        <v/>
      </c>
      <c r="M124" s="3">
        <f>IFERROR((IS_Flow!O57-IS_Flow!O58-IS_Flow!O59)/(IS_Flow!O57-IS_Flow!O58),"")</f>
        <v/>
      </c>
      <c r="N124" s="3">
        <f>IFERROR((IS_Flow!Q57-IS_Flow!Q58-IS_Flow!Q59)/(IS_Flow!Q57-IS_Flow!Q58),"")</f>
        <v/>
      </c>
      <c r="O124" s="3">
        <f>IFERROR((IS_Flow!R57-IS_Flow!R58-IS_Flow!R59)/(IS_Flow!R57-IS_Flow!R58),"")</f>
        <v/>
      </c>
      <c r="P124" s="3">
        <f>IFERROR((IS_Flow!S57-IS_Flow!S58-IS_Flow!S59)/(IS_Flow!S57-IS_Flow!S58),"")</f>
        <v/>
      </c>
      <c r="Q124" s="3">
        <f>IFERROR((IS_Flow!T57-IS_Flow!T58-IS_Flow!T59)/(IS_Flow!T57-IS_Flow!T58),"")</f>
        <v/>
      </c>
      <c r="R124" s="3">
        <f>IFERROR((IS_Flow!V57-IS_Flow!V58-IS_Flow!V59)/(IS_Flow!V57-IS_Flow!V58),"")</f>
        <v/>
      </c>
      <c r="S124" s="3">
        <f>IFERROR((IS_Flow!W57-IS_Flow!W58-IS_Flow!W59)/(IS_Flow!W57-IS_Flow!W58),"")</f>
        <v/>
      </c>
      <c r="T124" s="3">
        <f>IFERROR((IS_Flow!X57-IS_Flow!X58-IS_Flow!X59)/(IS_Flow!X57-IS_Flow!X58),"")</f>
        <v/>
      </c>
      <c r="U124" s="3">
        <f>IFERROR((IS_Flow!Y57-IS_Flow!Y58-IS_Flow!Y59)/(IS_Flow!Y57-IS_Flow!Y58),"")</f>
        <v/>
      </c>
    </row>
    <row r="125">
      <c r="A125" s="1" t="inlineStr">
        <is>
          <t>DSO (วัน)</t>
        </is>
      </c>
      <c r="B125" s="4">
        <f>IFERROR(((BS_Timeline!B66+BS_Timeline!C66)/2)/IS_Flow!B57*90,"")</f>
        <v/>
      </c>
      <c r="C125" s="4">
        <f>IFERROR(((BS_Timeline!C66+BS_Timeline!D66)/2)/IS_Flow!C57*91,"")</f>
        <v/>
      </c>
      <c r="D125" s="4">
        <f>IFERROR(((BS_Timeline!D66+BS_Timeline!E66)/2)/IS_Flow!D57*92,"")</f>
        <v/>
      </c>
      <c r="E125" s="4">
        <f>IFERROR(((BS_Timeline!E66+BS_Timeline!F66)/2)/IS_Flow!E57*92,"")</f>
        <v/>
      </c>
      <c r="F125" s="4">
        <f>IFERROR(((BS_Timeline!F66+BS_Timeline!G66)/2)/IS_Flow!G57*90,"")</f>
        <v/>
      </c>
      <c r="G125" s="4">
        <f>IFERROR(((BS_Timeline!G66+BS_Timeline!H66)/2)/IS_Flow!H57*91,"")</f>
        <v/>
      </c>
      <c r="H125" s="4">
        <f>IFERROR(((BS_Timeline!H66+BS_Timeline!I66)/2)/IS_Flow!I57*92,"")</f>
        <v/>
      </c>
      <c r="I125" s="4">
        <f>IFERROR(((BS_Timeline!I66+BS_Timeline!J66)/2)/IS_Flow!J57*92,"")</f>
        <v/>
      </c>
      <c r="J125" s="4">
        <f>IFERROR(((BS_Timeline!J66+BS_Timeline!K66)/2)/IS_Flow!L57*90,"")</f>
        <v/>
      </c>
      <c r="K125" s="4">
        <f>IFERROR(((BS_Timeline!K66+BS_Timeline!L66)/2)/IS_Flow!M57*91,"")</f>
        <v/>
      </c>
      <c r="L125" s="4">
        <f>IFERROR(((BS_Timeline!L66+BS_Timeline!M66)/2)/IS_Flow!N57*92,"")</f>
        <v/>
      </c>
      <c r="M125" s="4">
        <f>IFERROR(((BS_Timeline!M66+BS_Timeline!N66)/2)/IS_Flow!O57*92,"")</f>
        <v/>
      </c>
      <c r="N125" s="4">
        <f>IFERROR(((BS_Timeline!N66+BS_Timeline!O66)/2)/IS_Flow!Q57*90,"")</f>
        <v/>
      </c>
      <c r="O125" s="4">
        <f>IFERROR(((BS_Timeline!O66+BS_Timeline!P66)/2)/IS_Flow!R57*91,"")</f>
        <v/>
      </c>
      <c r="P125" s="4">
        <f>IFERROR(((BS_Timeline!P66+BS_Timeline!Q66)/2)/IS_Flow!S57*92,"")</f>
        <v/>
      </c>
      <c r="Q125" s="4">
        <f>IFERROR(((BS_Timeline!Q66+BS_Timeline!R66)/2)/IS_Flow!T57*92,"")</f>
        <v/>
      </c>
      <c r="R125" s="4">
        <f>IFERROR(((BS_Timeline!R66+BS_Timeline!S66)/2)/IS_Flow!V57*90,"")</f>
        <v/>
      </c>
      <c r="S125" s="4">
        <f>IFERROR(((BS_Timeline!S66+BS_Timeline!T66)/2)/IS_Flow!W57*91,"")</f>
        <v/>
      </c>
      <c r="T125" s="4">
        <f>IFERROR(((BS_Timeline!T66+BS_Timeline!U66)/2)/IS_Flow!X57*92,"")</f>
        <v/>
      </c>
      <c r="U125" s="4">
        <f>IFERROR(((BS_Timeline!U66+BS_Timeline!V66)/2)/IS_Flow!Y57*92,"")</f>
        <v/>
      </c>
    </row>
    <row r="126">
      <c r="A126" s="1" t="inlineStr">
        <is>
          <t>DIO (วัน)</t>
        </is>
      </c>
      <c r="B126" s="4">
        <f>IFERROR(((BS_Timeline!B67+BS_Timeline!C67)/2)/IS_Flow!B59*90,"")</f>
        <v/>
      </c>
      <c r="C126" s="4">
        <f>IFERROR(((BS_Timeline!C67+BS_Timeline!D67)/2)/IS_Flow!C59*91,"")</f>
        <v/>
      </c>
      <c r="D126" s="4">
        <f>IFERROR(((BS_Timeline!D67+BS_Timeline!E67)/2)/IS_Flow!D59*92,"")</f>
        <v/>
      </c>
      <c r="E126" s="4">
        <f>IFERROR(((BS_Timeline!E67+BS_Timeline!F67)/2)/IS_Flow!E59*92,"")</f>
        <v/>
      </c>
      <c r="F126" s="4">
        <f>IFERROR(((BS_Timeline!F67+BS_Timeline!G67)/2)/IS_Flow!G59*90,"")</f>
        <v/>
      </c>
      <c r="G126" s="4">
        <f>IFERROR(((BS_Timeline!G67+BS_Timeline!H67)/2)/IS_Flow!H59*91,"")</f>
        <v/>
      </c>
      <c r="H126" s="4">
        <f>IFERROR(((BS_Timeline!H67+BS_Timeline!I67)/2)/IS_Flow!I59*92,"")</f>
        <v/>
      </c>
      <c r="I126" s="4">
        <f>IFERROR(((BS_Timeline!I67+BS_Timeline!J67)/2)/IS_Flow!J59*92,"")</f>
        <v/>
      </c>
      <c r="J126" s="4">
        <f>IFERROR(((BS_Timeline!J67+BS_Timeline!K67)/2)/IS_Flow!L59*90,"")</f>
        <v/>
      </c>
      <c r="K126" s="4">
        <f>IFERROR(((BS_Timeline!K67+BS_Timeline!L67)/2)/IS_Flow!M59*91,"")</f>
        <v/>
      </c>
      <c r="L126" s="4">
        <f>IFERROR(((BS_Timeline!L67+BS_Timeline!M67)/2)/IS_Flow!N59*92,"")</f>
        <v/>
      </c>
      <c r="M126" s="4">
        <f>IFERROR(((BS_Timeline!M67+BS_Timeline!N67)/2)/IS_Flow!O59*92,"")</f>
        <v/>
      </c>
      <c r="N126" s="4">
        <f>IFERROR(((BS_Timeline!N67+BS_Timeline!O67)/2)/IS_Flow!Q59*90,"")</f>
        <v/>
      </c>
      <c r="O126" s="4">
        <f>IFERROR(((BS_Timeline!O67+BS_Timeline!P67)/2)/IS_Flow!R59*91,"")</f>
        <v/>
      </c>
      <c r="P126" s="4">
        <f>IFERROR(((BS_Timeline!P67+BS_Timeline!Q67)/2)/IS_Flow!S59*92,"")</f>
        <v/>
      </c>
      <c r="Q126" s="4">
        <f>IFERROR(((BS_Timeline!Q67+BS_Timeline!R67)/2)/IS_Flow!T59*92,"")</f>
        <v/>
      </c>
      <c r="R126" s="4">
        <f>IFERROR(((BS_Timeline!R67+BS_Timeline!S67)/2)/IS_Flow!V59*90,"")</f>
        <v/>
      </c>
      <c r="S126" s="4">
        <f>IFERROR(((BS_Timeline!S67+BS_Timeline!T67)/2)/IS_Flow!W59*91,"")</f>
        <v/>
      </c>
      <c r="T126" s="4">
        <f>IFERROR(((BS_Timeline!T67+BS_Timeline!U67)/2)/IS_Flow!X59*92,"")</f>
        <v/>
      </c>
      <c r="U126" s="4">
        <f>IFERROR(((BS_Timeline!U67+BS_Timeline!V67)/2)/IS_Flow!Y59*92,"")</f>
        <v/>
      </c>
    </row>
    <row r="127">
      <c r="A127" s="1" t="inlineStr">
        <is>
          <t>DPO (วัน)</t>
        </is>
      </c>
      <c r="B127" s="4">
        <f>IFERROR(((BS_Timeline!B68+BS_Timeline!C68)/2)/IS_Flow!B59*90,"")</f>
        <v/>
      </c>
      <c r="C127" s="4">
        <f>IFERROR(((BS_Timeline!C68+BS_Timeline!D68)/2)/IS_Flow!C59*91,"")</f>
        <v/>
      </c>
      <c r="D127" s="4">
        <f>IFERROR(((BS_Timeline!D68+BS_Timeline!E68)/2)/IS_Flow!D59*92,"")</f>
        <v/>
      </c>
      <c r="E127" s="4">
        <f>IFERROR(((BS_Timeline!E68+BS_Timeline!F68)/2)/IS_Flow!E59*92,"")</f>
        <v/>
      </c>
      <c r="F127" s="4">
        <f>IFERROR(((BS_Timeline!F68+BS_Timeline!G68)/2)/IS_Flow!G59*90,"")</f>
        <v/>
      </c>
      <c r="G127" s="4">
        <f>IFERROR(((BS_Timeline!G68+BS_Timeline!H68)/2)/IS_Flow!H59*91,"")</f>
        <v/>
      </c>
      <c r="H127" s="4">
        <f>IFERROR(((BS_Timeline!H68+BS_Timeline!I68)/2)/IS_Flow!I59*92,"")</f>
        <v/>
      </c>
      <c r="I127" s="4">
        <f>IFERROR(((BS_Timeline!I68+BS_Timeline!J68)/2)/IS_Flow!J59*92,"")</f>
        <v/>
      </c>
      <c r="J127" s="4">
        <f>IFERROR(((BS_Timeline!J68+BS_Timeline!K68)/2)/IS_Flow!L59*90,"")</f>
        <v/>
      </c>
      <c r="K127" s="4">
        <f>IFERROR(((BS_Timeline!K68+BS_Timeline!L68)/2)/IS_Flow!M59*91,"")</f>
        <v/>
      </c>
      <c r="L127" s="4">
        <f>IFERROR(((BS_Timeline!L68+BS_Timeline!M68)/2)/IS_Flow!N59*92,"")</f>
        <v/>
      </c>
      <c r="M127" s="4">
        <f>IFERROR(((BS_Timeline!M68+BS_Timeline!N68)/2)/IS_Flow!O59*92,"")</f>
        <v/>
      </c>
      <c r="N127" s="4">
        <f>IFERROR(((BS_Timeline!N68+BS_Timeline!O68)/2)/IS_Flow!Q59*90,"")</f>
        <v/>
      </c>
      <c r="O127" s="4">
        <f>IFERROR(((BS_Timeline!O68+BS_Timeline!P68)/2)/IS_Flow!R59*91,"")</f>
        <v/>
      </c>
      <c r="P127" s="4">
        <f>IFERROR(((BS_Timeline!P68+BS_Timeline!Q68)/2)/IS_Flow!S59*92,"")</f>
        <v/>
      </c>
      <c r="Q127" s="4">
        <f>IFERROR(((BS_Timeline!Q68+BS_Timeline!R68)/2)/IS_Flow!T59*92,"")</f>
        <v/>
      </c>
      <c r="R127" s="4">
        <f>IFERROR(((BS_Timeline!R68+BS_Timeline!S68)/2)/IS_Flow!V59*90,"")</f>
        <v/>
      </c>
      <c r="S127" s="4">
        <f>IFERROR(((BS_Timeline!S68+BS_Timeline!T68)/2)/IS_Flow!W59*91,"")</f>
        <v/>
      </c>
      <c r="T127" s="4">
        <f>IFERROR(((BS_Timeline!T68+BS_Timeline!U68)/2)/IS_Flow!X59*92,"")</f>
        <v/>
      </c>
      <c r="U127" s="4">
        <f>IFERROR(((BS_Timeline!U68+BS_Timeline!V68)/2)/IS_Flow!Y59*92,"")</f>
        <v/>
      </c>
    </row>
    <row r="128">
      <c r="A128" s="1" t="inlineStr">
        <is>
          <t>CCC (วัน)</t>
        </is>
      </c>
      <c r="B128" s="4">
        <f>IFERROR(B125+B126-B127,"")</f>
        <v/>
      </c>
      <c r="C128" s="4">
        <f>IFERROR(C125+C126-C127,"")</f>
        <v/>
      </c>
      <c r="D128" s="4">
        <f>IFERROR(D125+D126-D127,"")</f>
        <v/>
      </c>
      <c r="E128" s="4">
        <f>IFERROR(E125+E126-E127,"")</f>
        <v/>
      </c>
      <c r="F128" s="4">
        <f>IFERROR(F125+F126-F127,"")</f>
        <v/>
      </c>
      <c r="G128" s="4">
        <f>IFERROR(G125+G126-G127,"")</f>
        <v/>
      </c>
      <c r="H128" s="4">
        <f>IFERROR(H125+H126-H127,"")</f>
        <v/>
      </c>
      <c r="I128" s="4">
        <f>IFERROR(I125+I126-I127,"")</f>
        <v/>
      </c>
      <c r="J128" s="4">
        <f>IFERROR(J125+J126-J127,"")</f>
        <v/>
      </c>
      <c r="K128" s="4">
        <f>IFERROR(K125+K126-K127,"")</f>
        <v/>
      </c>
      <c r="L128" s="4">
        <f>IFERROR(L125+L126-L127,"")</f>
        <v/>
      </c>
      <c r="M128" s="4">
        <f>IFERROR(M125+M126-M127,"")</f>
        <v/>
      </c>
      <c r="N128" s="4">
        <f>IFERROR(N125+N126-N127,"")</f>
        <v/>
      </c>
      <c r="O128" s="4">
        <f>IFERROR(O125+O126-O127,"")</f>
        <v/>
      </c>
      <c r="P128" s="4">
        <f>IFERROR(P125+P126-P127,"")</f>
        <v/>
      </c>
      <c r="Q128" s="4">
        <f>IFERROR(Q125+Q126-Q127,"")</f>
        <v/>
      </c>
      <c r="R128" s="4">
        <f>IFERROR(R125+R126-R127,"")</f>
        <v/>
      </c>
      <c r="S128" s="4">
        <f>IFERROR(S125+S126-S127,"")</f>
        <v/>
      </c>
      <c r="T128" s="4">
        <f>IFERROR(T125+T126-T127,"")</f>
        <v/>
      </c>
      <c r="U128" s="4">
        <f>IFERROR(U125+U126-U127,"")</f>
        <v/>
      </c>
    </row>
    <row r="129">
      <c r="A129" s="1" t="inlineStr">
        <is>
          <t>ROA รายไตรมาส (%)</t>
        </is>
      </c>
      <c r="B129" s="3">
        <f>IFERROR(IS_Flow!B60/((BS_Timeline!B69+BS_Timeline!C69)/2),"")</f>
        <v/>
      </c>
      <c r="C129" s="3">
        <f>IFERROR(IS_Flow!C60/((BS_Timeline!C69+BS_Timeline!D69)/2),"")</f>
        <v/>
      </c>
      <c r="D129" s="3">
        <f>IFERROR(IS_Flow!D60/((BS_Timeline!D69+BS_Timeline!E69)/2),"")</f>
        <v/>
      </c>
      <c r="E129" s="3">
        <f>IFERROR(IS_Flow!E60/((BS_Timeline!E69+BS_Timeline!F69)/2),"")</f>
        <v/>
      </c>
      <c r="F129" s="3">
        <f>IFERROR(IS_Flow!G60/((BS_Timeline!F69+BS_Timeline!G69)/2),"")</f>
        <v/>
      </c>
      <c r="G129" s="3">
        <f>IFERROR(IS_Flow!H60/((BS_Timeline!G69+BS_Timeline!H69)/2),"")</f>
        <v/>
      </c>
      <c r="H129" s="3">
        <f>IFERROR(IS_Flow!I60/((BS_Timeline!H69+BS_Timeline!I69)/2),"")</f>
        <v/>
      </c>
      <c r="I129" s="3">
        <f>IFERROR(IS_Flow!J60/((BS_Timeline!I69+BS_Timeline!J69)/2),"")</f>
        <v/>
      </c>
      <c r="J129" s="3">
        <f>IFERROR(IS_Flow!L60/((BS_Timeline!J69+BS_Timeline!K69)/2),"")</f>
        <v/>
      </c>
      <c r="K129" s="3">
        <f>IFERROR(IS_Flow!M60/((BS_Timeline!K69+BS_Timeline!L69)/2),"")</f>
        <v/>
      </c>
      <c r="L129" s="3">
        <f>IFERROR(IS_Flow!N60/((BS_Timeline!L69+BS_Timeline!M69)/2),"")</f>
        <v/>
      </c>
      <c r="M129" s="3">
        <f>IFERROR(IS_Flow!O60/((BS_Timeline!M69+BS_Timeline!N69)/2),"")</f>
        <v/>
      </c>
      <c r="N129" s="3">
        <f>IFERROR(IS_Flow!Q60/((BS_Timeline!N69+BS_Timeline!O69)/2),"")</f>
        <v/>
      </c>
      <c r="O129" s="3">
        <f>IFERROR(IS_Flow!R60/((BS_Timeline!O69+BS_Timeline!P69)/2),"")</f>
        <v/>
      </c>
      <c r="P129" s="3">
        <f>IFERROR(IS_Flow!S60/((BS_Timeline!P69+BS_Timeline!Q69)/2),"")</f>
        <v/>
      </c>
      <c r="Q129" s="3">
        <f>IFERROR(IS_Flow!T60/((BS_Timeline!Q69+BS_Timeline!R69)/2),"")</f>
        <v/>
      </c>
      <c r="R129" s="3">
        <f>IFERROR(IS_Flow!V60/((BS_Timeline!R69+BS_Timeline!S69)/2),"")</f>
        <v/>
      </c>
      <c r="S129" s="3">
        <f>IFERROR(IS_Flow!W60/((BS_Timeline!S69+BS_Timeline!T69)/2),"")</f>
        <v/>
      </c>
      <c r="T129" s="3">
        <f>IFERROR(IS_Flow!X60/((BS_Timeline!T69+BS_Timeline!U69)/2),"")</f>
        <v/>
      </c>
      <c r="U129" s="3">
        <f>IFERROR(IS_Flow!Y60/((BS_Timeline!U69+BS_Timeline!V69)/2),"")</f>
        <v/>
      </c>
    </row>
    <row r="130">
      <c r="A130" s="1" t="inlineStr">
        <is>
          <t>ROE รายไตรมาส (%)</t>
        </is>
      </c>
      <c r="B130" s="3">
        <f>IFERROR(IS_Flow!B60/((BS_Timeline!B70+BS_Timeline!C70)/2),"")</f>
        <v/>
      </c>
      <c r="C130" s="3">
        <f>IFERROR(IS_Flow!C60/((BS_Timeline!C70+BS_Timeline!D70)/2),"")</f>
        <v/>
      </c>
      <c r="D130" s="3">
        <f>IFERROR(IS_Flow!D60/((BS_Timeline!D70+BS_Timeline!E70)/2),"")</f>
        <v/>
      </c>
      <c r="E130" s="3">
        <f>IFERROR(IS_Flow!E60/((BS_Timeline!E70+BS_Timeline!F70)/2),"")</f>
        <v/>
      </c>
      <c r="F130" s="3">
        <f>IFERROR(IS_Flow!G60/((BS_Timeline!F70+BS_Timeline!G70)/2),"")</f>
        <v/>
      </c>
      <c r="G130" s="3">
        <f>IFERROR(IS_Flow!H60/((BS_Timeline!G70+BS_Timeline!H70)/2),"")</f>
        <v/>
      </c>
      <c r="H130" s="3">
        <f>IFERROR(IS_Flow!I60/((BS_Timeline!H70+BS_Timeline!I70)/2),"")</f>
        <v/>
      </c>
      <c r="I130" s="3">
        <f>IFERROR(IS_Flow!J60/((BS_Timeline!I70+BS_Timeline!J70)/2),"")</f>
        <v/>
      </c>
      <c r="J130" s="3">
        <f>IFERROR(IS_Flow!L60/((BS_Timeline!J70+BS_Timeline!K70)/2),"")</f>
        <v/>
      </c>
      <c r="K130" s="3">
        <f>IFERROR(IS_Flow!M60/((BS_Timeline!K70+BS_Timeline!L70)/2),"")</f>
        <v/>
      </c>
      <c r="L130" s="3">
        <f>IFERROR(IS_Flow!N60/((BS_Timeline!L70+BS_Timeline!M70)/2),"")</f>
        <v/>
      </c>
      <c r="M130" s="3">
        <f>IFERROR(IS_Flow!O60/((BS_Timeline!M70+BS_Timeline!N70)/2),"")</f>
        <v/>
      </c>
      <c r="N130" s="3">
        <f>IFERROR(IS_Flow!Q60/((BS_Timeline!N70+BS_Timeline!O70)/2),"")</f>
        <v/>
      </c>
      <c r="O130" s="3">
        <f>IFERROR(IS_Flow!R60/((BS_Timeline!O70+BS_Timeline!P70)/2),"")</f>
        <v/>
      </c>
      <c r="P130" s="3">
        <f>IFERROR(IS_Flow!S60/((BS_Timeline!P70+BS_Timeline!Q70)/2),"")</f>
        <v/>
      </c>
      <c r="Q130" s="3">
        <f>IFERROR(IS_Flow!T60/((BS_Timeline!Q70+BS_Timeline!R70)/2),"")</f>
        <v/>
      </c>
      <c r="R130" s="3">
        <f>IFERROR(IS_Flow!V60/((BS_Timeline!R70+BS_Timeline!S70)/2),"")</f>
        <v/>
      </c>
      <c r="S130" s="3">
        <f>IFERROR(IS_Flow!W60/((BS_Timeline!S70+BS_Timeline!T70)/2),"")</f>
        <v/>
      </c>
      <c r="T130" s="3">
        <f>IFERROR(IS_Flow!X60/((BS_Timeline!T70+BS_Timeline!U70)/2),"")</f>
        <v/>
      </c>
      <c r="U130" s="3">
        <f>IFERROR(IS_Flow!Y60/((BS_Timeline!U70+BS_Timeline!V70)/2),"")</f>
        <v/>
      </c>
    </row>
    <row r="131">
      <c r="A131" s="1" t="inlineStr">
        <is>
          <t>D/E (เท่า)</t>
        </is>
      </c>
      <c r="B131" s="4">
        <f>IFERROR(BS_Timeline!C71/BS_Timeline!C70,"")</f>
        <v/>
      </c>
      <c r="C131" s="4">
        <f>IFERROR(BS_Timeline!D71/BS_Timeline!D70,"")</f>
        <v/>
      </c>
      <c r="D131" s="4">
        <f>IFERROR(BS_Timeline!E71/BS_Timeline!E70,"")</f>
        <v/>
      </c>
      <c r="E131" s="4">
        <f>IFERROR(BS_Timeline!F71/BS_Timeline!F70,"")</f>
        <v/>
      </c>
      <c r="F131" s="4">
        <f>IFERROR(BS_Timeline!G71/BS_Timeline!G70,"")</f>
        <v/>
      </c>
      <c r="G131" s="4">
        <f>IFERROR(BS_Timeline!H71/BS_Timeline!H70,"")</f>
        <v/>
      </c>
      <c r="H131" s="4">
        <f>IFERROR(BS_Timeline!I71/BS_Timeline!I70,"")</f>
        <v/>
      </c>
      <c r="I131" s="4">
        <f>IFERROR(BS_Timeline!J71/BS_Timeline!J70,"")</f>
        <v/>
      </c>
      <c r="J131" s="4">
        <f>IFERROR(BS_Timeline!K71/BS_Timeline!K70,"")</f>
        <v/>
      </c>
      <c r="K131" s="4">
        <f>IFERROR(BS_Timeline!L71/BS_Timeline!L70,"")</f>
        <v/>
      </c>
      <c r="L131" s="4">
        <f>IFERROR(BS_Timeline!M71/BS_Timeline!M70,"")</f>
        <v/>
      </c>
      <c r="M131" s="4">
        <f>IFERROR(BS_Timeline!N71/BS_Timeline!N70,"")</f>
        <v/>
      </c>
      <c r="N131" s="4">
        <f>IFERROR(BS_Timeline!O71/BS_Timeline!O70,"")</f>
        <v/>
      </c>
      <c r="O131" s="4">
        <f>IFERROR(BS_Timeline!P71/BS_Timeline!P70,"")</f>
        <v/>
      </c>
      <c r="P131" s="4">
        <f>IFERROR(BS_Timeline!Q71/BS_Timeline!Q70,"")</f>
        <v/>
      </c>
      <c r="Q131" s="4">
        <f>IFERROR(BS_Timeline!R71/BS_Timeline!R70,"")</f>
        <v/>
      </c>
      <c r="R131" s="4">
        <f>IFERROR(BS_Timeline!S71/BS_Timeline!S70,"")</f>
        <v/>
      </c>
      <c r="S131" s="4">
        <f>IFERROR(BS_Timeline!T71/BS_Timeline!T70,"")</f>
        <v/>
      </c>
      <c r="T131" s="4">
        <f>IFERROR(BS_Timeline!U71/BS_Timeline!U70,"")</f>
        <v/>
      </c>
      <c r="U131" s="4">
        <f>IFERROR(BS_Timeline!V71/BS_Timeline!V70,"")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>
      <c r="A1" s="6" t="inlineStr">
        <is>
          <t>รายการ (ล้านบาท, 3 เดือน)</t>
        </is>
      </c>
      <c r="B1" s="6" t="inlineStr">
        <is>
          <t>Q1/2564</t>
        </is>
      </c>
      <c r="C1" s="6" t="inlineStr">
        <is>
          <t>Q2/2564</t>
        </is>
      </c>
      <c r="D1" s="6" t="inlineStr">
        <is>
          <t>Q3/2564</t>
        </is>
      </c>
      <c r="E1" s="6" t="inlineStr">
        <is>
          <t>Q4/2564</t>
        </is>
      </c>
      <c r="F1" s="6" t="inlineStr">
        <is>
          <t>FY2564</t>
        </is>
      </c>
      <c r="G1" s="6" t="inlineStr">
        <is>
          <t>Q1/2565</t>
        </is>
      </c>
      <c r="H1" s="6" t="inlineStr">
        <is>
          <t>Q2/2565</t>
        </is>
      </c>
      <c r="I1" s="6" t="inlineStr">
        <is>
          <t>Q3/2565</t>
        </is>
      </c>
      <c r="J1" s="6" t="inlineStr">
        <is>
          <t>Q4/2565</t>
        </is>
      </c>
      <c r="K1" s="6" t="inlineStr">
        <is>
          <t>FY2565</t>
        </is>
      </c>
      <c r="L1" s="6" t="inlineStr">
        <is>
          <t>Q1/2566</t>
        </is>
      </c>
      <c r="M1" s="6" t="inlineStr">
        <is>
          <t>Q2/2566</t>
        </is>
      </c>
      <c r="N1" s="6" t="inlineStr">
        <is>
          <t>Q3/2566</t>
        </is>
      </c>
      <c r="O1" s="6" t="inlineStr">
        <is>
          <t>Q4/2566</t>
        </is>
      </c>
      <c r="P1" s="6" t="inlineStr">
        <is>
          <t>FY2566</t>
        </is>
      </c>
      <c r="Q1" s="6" t="inlineStr">
        <is>
          <t>Q1/2567</t>
        </is>
      </c>
      <c r="R1" s="6" t="inlineStr">
        <is>
          <t>Q2/2567</t>
        </is>
      </c>
      <c r="S1" s="6" t="inlineStr">
        <is>
          <t>Q3/2567</t>
        </is>
      </c>
      <c r="T1" s="6" t="inlineStr">
        <is>
          <t>Q4/2567</t>
        </is>
      </c>
      <c r="U1" s="6" t="inlineStr">
        <is>
          <t>FY2567</t>
        </is>
      </c>
      <c r="V1" s="6" t="inlineStr">
        <is>
          <t>Q1/2568</t>
        </is>
      </c>
      <c r="W1" s="6" t="inlineStr">
        <is>
          <t>Q2/2568</t>
        </is>
      </c>
      <c r="X1" s="6" t="inlineStr">
        <is>
          <t>Q3/2568</t>
        </is>
      </c>
      <c r="Y1" s="6" t="inlineStr">
        <is>
          <t>Q4/2568</t>
        </is>
      </c>
      <c r="Z1" s="6" t="inlineStr">
        <is>
          <t>FY2568</t>
        </is>
      </c>
    </row>
    <row r="2">
      <c r="A2" s="7" t="inlineStr">
        <is>
          <t>■ ASIA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1" t="inlineStr">
        <is>
          <t>รายได้รวม</t>
        </is>
      </c>
      <c r="B3" t="n">
        <v>161.421</v>
      </c>
      <c r="C3" t="n">
        <v>143.655</v>
      </c>
      <c r="D3" t="n">
        <v>146.768</v>
      </c>
      <c r="E3" s="9">
        <f>F3-B3-C3-D3</f>
        <v/>
      </c>
      <c r="F3" t="n">
        <v>599.845</v>
      </c>
      <c r="G3" t="n">
        <v>173.164</v>
      </c>
      <c r="H3" t="n">
        <v>210.576</v>
      </c>
      <c r="I3" t="n">
        <v>255.119</v>
      </c>
      <c r="J3" s="9">
        <f>K3-G3-H3-I3</f>
        <v/>
      </c>
      <c r="K3" t="n">
        <v>924.299</v>
      </c>
      <c r="L3" t="n">
        <v>299.966</v>
      </c>
      <c r="M3" t="n">
        <v>289.335</v>
      </c>
      <c r="N3" t="n">
        <v>307.831</v>
      </c>
      <c r="O3" s="9">
        <f>P3-L3-M3-N3</f>
        <v/>
      </c>
      <c r="P3" t="n">
        <v>1188.482</v>
      </c>
      <c r="Q3" t="n">
        <v>316.06</v>
      </c>
      <c r="R3" t="n">
        <v>306.951</v>
      </c>
      <c r="S3" t="n">
        <v>326.359</v>
      </c>
      <c r="T3" s="9">
        <f>U3-Q3-R3-S3</f>
        <v/>
      </c>
      <c r="U3" t="n">
        <v>1275.109</v>
      </c>
      <c r="V3" t="n">
        <v>342.684</v>
      </c>
      <c r="W3" t="n">
        <v>306.205</v>
      </c>
      <c r="X3" t="n">
        <v>321.648</v>
      </c>
      <c r="Y3" s="9">
        <f>Z3-V3-W3-X3</f>
        <v/>
      </c>
      <c r="Z3" t="n">
        <v>1364.564</v>
      </c>
    </row>
    <row r="4">
      <c r="A4" s="1" t="inlineStr">
        <is>
          <t>รายได้อื่น</t>
        </is>
      </c>
      <c r="B4" t="n">
        <v>12.568</v>
      </c>
      <c r="C4" t="n">
        <v>13.539</v>
      </c>
      <c r="D4" t="n">
        <v>8.788</v>
      </c>
      <c r="E4" s="9">
        <f>F4-B4-C4-D4</f>
        <v/>
      </c>
      <c r="F4" t="n">
        <v>48.375</v>
      </c>
      <c r="G4" t="n">
        <v>10.123</v>
      </c>
      <c r="H4" t="n">
        <v>11.369</v>
      </c>
      <c r="I4" t="n">
        <v>12.28</v>
      </c>
      <c r="J4" s="9">
        <f>K4-G4-H4-I4</f>
        <v/>
      </c>
      <c r="K4" t="n">
        <v>45.181</v>
      </c>
      <c r="L4" t="n">
        <v>15.717</v>
      </c>
      <c r="M4" t="n">
        <v>16.357</v>
      </c>
      <c r="N4" t="n">
        <v>22.347</v>
      </c>
      <c r="O4" s="9">
        <f>P4-L4-M4-N4</f>
        <v/>
      </c>
      <c r="P4" t="n">
        <v>72.435</v>
      </c>
      <c r="Q4" t="n">
        <v>15.012</v>
      </c>
      <c r="R4" t="n">
        <v>19.732</v>
      </c>
      <c r="S4" t="n">
        <v>15.012</v>
      </c>
      <c r="T4" s="9">
        <f>U4-Q4-R4-S4</f>
        <v/>
      </c>
      <c r="U4" t="n">
        <v>77.119</v>
      </c>
      <c r="V4" t="n">
        <v>19.762</v>
      </c>
      <c r="W4" t="n">
        <v>19.916</v>
      </c>
      <c r="X4" t="n">
        <v>23.877</v>
      </c>
      <c r="Y4" s="9">
        <f>Z4-V4-W4-X4</f>
        <v/>
      </c>
      <c r="Z4" t="n">
        <v>80.027</v>
      </c>
    </row>
    <row r="5">
      <c r="A5" s="1" t="inlineStr">
        <is>
          <t>ต้นทุนขาย (จริง)</t>
        </is>
      </c>
      <c r="B5" t="n">
        <v>155.453</v>
      </c>
      <c r="C5" t="n">
        <v>150.548</v>
      </c>
      <c r="D5" t="n">
        <v>137.157</v>
      </c>
      <c r="E5" s="9">
        <f>F5-B5-C5-D5</f>
        <v/>
      </c>
      <c r="F5" t="n">
        <v>603.606</v>
      </c>
      <c r="G5" t="n">
        <v>161.775</v>
      </c>
      <c r="H5" t="n">
        <v>179.281</v>
      </c>
      <c r="I5" t="n">
        <v>201.105</v>
      </c>
      <c r="J5" s="9">
        <f>K5-G5-H5-I5</f>
        <v/>
      </c>
      <c r="K5" t="n">
        <v>747.973</v>
      </c>
      <c r="L5" t="n">
        <v>219.817</v>
      </c>
      <c r="M5" t="n">
        <v>220.397</v>
      </c>
      <c r="N5" t="n">
        <v>223.495</v>
      </c>
      <c r="O5" s="9">
        <f>P5-L5-M5-N5</f>
        <v/>
      </c>
      <c r="P5" t="n">
        <v>876.527</v>
      </c>
      <c r="Q5" t="n">
        <v>220.309</v>
      </c>
      <c r="R5" t="n">
        <v>222.275</v>
      </c>
      <c r="S5" t="n">
        <v>241.647</v>
      </c>
      <c r="T5" s="9">
        <f>U5-Q5-R5-S5</f>
        <v/>
      </c>
      <c r="U5" t="n">
        <v>921.247</v>
      </c>
      <c r="V5" t="n">
        <v>233.19</v>
      </c>
      <c r="W5" t="n">
        <v>233.988</v>
      </c>
      <c r="X5" t="n">
        <v>236.609</v>
      </c>
      <c r="Y5" s="9">
        <f>Z5-V5-W5-X5</f>
        <v/>
      </c>
      <c r="Z5" t="n">
        <v>942.602</v>
      </c>
    </row>
    <row r="6">
      <c r="A6" s="1" t="inlineStr">
        <is>
          <t>กำไรสุทธิ (รวม)</t>
        </is>
      </c>
      <c r="B6" t="n">
        <v>-48.5</v>
      </c>
      <c r="C6" t="n">
        <v>-58.89</v>
      </c>
      <c r="D6" t="n">
        <v>-37.553</v>
      </c>
      <c r="E6" s="9">
        <f>F6-B6-C6-D6</f>
        <v/>
      </c>
      <c r="F6" t="n">
        <v>-210.623</v>
      </c>
      <c r="G6" t="n">
        <v>-49.978</v>
      </c>
      <c r="H6" t="n">
        <v>-35.144</v>
      </c>
      <c r="I6" t="n">
        <v>-25.28</v>
      </c>
      <c r="J6" s="9">
        <f>K6-G6-H6-I6</f>
        <v/>
      </c>
      <c r="K6" t="n">
        <v>-112.271</v>
      </c>
      <c r="L6" t="n">
        <v>-13.24</v>
      </c>
      <c r="M6" t="n">
        <v>-5.875</v>
      </c>
      <c r="N6" t="n">
        <v>5.997</v>
      </c>
      <c r="O6" s="9">
        <f>P6-L6-M6-N6</f>
        <v/>
      </c>
      <c r="P6" t="n">
        <v>-60.57</v>
      </c>
      <c r="Q6" t="n">
        <v>0.722</v>
      </c>
      <c r="R6" t="n">
        <v>-4.117</v>
      </c>
      <c r="S6" t="n">
        <v>-4.096</v>
      </c>
      <c r="T6" s="9">
        <f>U6-Q6-R6-S6</f>
        <v/>
      </c>
      <c r="U6" t="n">
        <v>-5.596</v>
      </c>
      <c r="V6" t="n">
        <v>14.423</v>
      </c>
      <c r="W6" t="n">
        <v>-14.973</v>
      </c>
      <c r="X6" t="n">
        <v>-6.092</v>
      </c>
      <c r="Y6" s="9">
        <f>Z6-V6-W6-X6</f>
        <v/>
      </c>
      <c r="Z6" t="n">
        <v>-3.355</v>
      </c>
    </row>
    <row r="7">
      <c r="A7" s="1" t="inlineStr">
        <is>
          <t>กำไรสุทธิ (ส่วนแม่)</t>
        </is>
      </c>
      <c r="B7" t="n">
        <v>-48.531</v>
      </c>
      <c r="C7" t="n">
        <v>-58.854</v>
      </c>
      <c r="D7" t="n">
        <v>-36.74</v>
      </c>
      <c r="E7" s="9">
        <f>F7-B7-C7-D7</f>
        <v/>
      </c>
      <c r="F7" t="n">
        <v>-209.093</v>
      </c>
      <c r="G7" t="n">
        <v>-49.915</v>
      </c>
      <c r="H7" t="n">
        <v>-35.074</v>
      </c>
      <c r="I7" t="n">
        <v>-24.879</v>
      </c>
      <c r="J7" s="9">
        <f>K7-G7-H7-I7</f>
        <v/>
      </c>
      <c r="K7" t="n">
        <v>-111.452</v>
      </c>
      <c r="L7" t="n">
        <v>-11.584</v>
      </c>
      <c r="M7" t="n">
        <v>-5.349</v>
      </c>
      <c r="N7" t="n">
        <v>6.344</v>
      </c>
      <c r="O7" s="9">
        <f>P7-L7-M7-N7</f>
        <v/>
      </c>
      <c r="P7" t="n">
        <v>-54.265</v>
      </c>
      <c r="Q7" t="n">
        <v>1.637</v>
      </c>
      <c r="R7" t="n">
        <v>-3.459</v>
      </c>
      <c r="S7" t="n">
        <v>-3.001</v>
      </c>
      <c r="T7" s="9">
        <f>U7-Q7-R7-S7</f>
        <v/>
      </c>
      <c r="U7" t="n">
        <v>-2.181</v>
      </c>
      <c r="V7" t="n">
        <v>14.963</v>
      </c>
      <c r="W7" t="n">
        <v>-14.469</v>
      </c>
      <c r="X7" t="n">
        <v>-5.466</v>
      </c>
      <c r="Y7" s="9">
        <f>Z7-V7-W7-X7</f>
        <v/>
      </c>
      <c r="Z7" t="n">
        <v>-1.129</v>
      </c>
    </row>
    <row r="8">
      <c r="A8" s="7" t="inlineStr">
        <is>
          <t>■ CENTEL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1" t="inlineStr">
        <is>
          <t>รายได้รวม</t>
        </is>
      </c>
      <c r="B9" t="n">
        <v>2754.569</v>
      </c>
      <c r="C9" t="n">
        <v>2661.964</v>
      </c>
      <c r="D9" t="n">
        <v>2396.598</v>
      </c>
      <c r="E9" s="9">
        <f>F9-B9-C9-D9</f>
        <v/>
      </c>
      <c r="F9" t="n">
        <v>11528.506</v>
      </c>
      <c r="G9" t="n">
        <v>3851.608</v>
      </c>
      <c r="H9" t="n">
        <v>4296.949</v>
      </c>
      <c r="I9" t="n">
        <v>4527.85</v>
      </c>
      <c r="J9" s="9">
        <f>K9-G9-H9-I9</f>
        <v/>
      </c>
      <c r="K9" t="n">
        <v>18036.317</v>
      </c>
      <c r="L9" t="n">
        <v>5804.619</v>
      </c>
      <c r="M9" t="n">
        <v>5171.518</v>
      </c>
      <c r="N9" t="n">
        <v>5351.553</v>
      </c>
      <c r="O9" s="9">
        <f>P9-L9-M9-N9</f>
        <v/>
      </c>
      <c r="P9" t="n">
        <v>22261.37</v>
      </c>
      <c r="Q9" t="n">
        <v>6321.691</v>
      </c>
      <c r="R9" t="n">
        <v>5763.953</v>
      </c>
      <c r="S9" t="n">
        <v>5539.57</v>
      </c>
      <c r="T9" s="9">
        <f>U9-Q9-R9-S9</f>
        <v/>
      </c>
      <c r="U9" t="n">
        <v>23949.529</v>
      </c>
      <c r="V9" t="n">
        <v>6695.756</v>
      </c>
      <c r="W9" t="n">
        <v>5752.002</v>
      </c>
      <c r="X9" t="n">
        <v>5773.648</v>
      </c>
      <c r="Y9" s="9">
        <f>Z9-V9-W9-X9</f>
        <v/>
      </c>
      <c r="Z9" t="n">
        <v>25050.93</v>
      </c>
    </row>
    <row r="10">
      <c r="A10" s="1" t="inlineStr">
        <is>
          <t>รายได้อื่น</t>
        </is>
      </c>
      <c r="B10" t="n">
        <v>72.532</v>
      </c>
      <c r="C10" t="n">
        <v>264.614</v>
      </c>
      <c r="D10" t="n">
        <v>341.183</v>
      </c>
      <c r="E10" s="9">
        <f>F10-B10-C10-D10</f>
        <v/>
      </c>
      <c r="F10" t="n">
        <v>317.256</v>
      </c>
      <c r="G10" t="n">
        <v>170.493</v>
      </c>
      <c r="H10" t="n">
        <v>379.093</v>
      </c>
      <c r="I10" t="n">
        <v>384.698</v>
      </c>
      <c r="J10" s="9">
        <f>K10-G10-H10-I10</f>
        <v/>
      </c>
      <c r="K10" t="n">
        <v>534.308</v>
      </c>
      <c r="L10" t="n">
        <v>274.671</v>
      </c>
      <c r="M10" t="n">
        <v>495.957</v>
      </c>
      <c r="N10" t="n">
        <v>664.926</v>
      </c>
      <c r="O10" s="9">
        <f>P10-L10-M10-N10</f>
        <v/>
      </c>
      <c r="P10" t="n">
        <v>703.732</v>
      </c>
      <c r="Q10" t="n">
        <v>217.796</v>
      </c>
      <c r="R10" t="n">
        <v>674.042</v>
      </c>
      <c r="S10" t="n">
        <v>721.003</v>
      </c>
      <c r="T10" s="9">
        <f>U10-Q10-R10-S10</f>
        <v/>
      </c>
      <c r="U10" t="n">
        <v>900.6609999999999</v>
      </c>
      <c r="V10" t="n">
        <v>273.087</v>
      </c>
      <c r="W10" t="n">
        <v>578.369</v>
      </c>
      <c r="X10" t="n">
        <v>729.45</v>
      </c>
      <c r="Y10" s="9">
        <f>Z10-V10-W10-X10</f>
        <v/>
      </c>
      <c r="Z10" t="n">
        <v>1096.979</v>
      </c>
    </row>
    <row r="11">
      <c r="A11" s="1" t="inlineStr">
        <is>
          <t>ต้นทุนขาย (จริง)</t>
        </is>
      </c>
      <c r="B11" t="n">
        <v>1813.043</v>
      </c>
      <c r="C11" t="n">
        <v>1848.835</v>
      </c>
      <c r="D11" t="n">
        <v>1757.659</v>
      </c>
      <c r="E11" s="9">
        <f>F11-B11-C11-D11</f>
        <v/>
      </c>
      <c r="F11" t="n">
        <v>7613.439</v>
      </c>
      <c r="G11" t="n">
        <v>2285.245</v>
      </c>
      <c r="H11" t="n">
        <v>2518.558</v>
      </c>
      <c r="I11" t="n">
        <v>2669.11</v>
      </c>
      <c r="J11" s="9">
        <f>K11-G11-H11-I11</f>
        <v/>
      </c>
      <c r="K11" t="n">
        <v>10493.716</v>
      </c>
      <c r="L11" t="n">
        <v>3049.21</v>
      </c>
      <c r="M11" t="n">
        <v>3044.968</v>
      </c>
      <c r="N11" t="n">
        <v>3120.644</v>
      </c>
      <c r="O11" s="9">
        <f>P11-L11-M11-N11</f>
        <v/>
      </c>
      <c r="P11" t="n">
        <v>12710.76</v>
      </c>
      <c r="Q11" t="n">
        <v>3335.369</v>
      </c>
      <c r="R11" t="n">
        <v>3275.665</v>
      </c>
      <c r="S11" t="n">
        <v>3257.927</v>
      </c>
      <c r="T11" s="9">
        <f>U11-Q11-R11-S11</f>
        <v/>
      </c>
      <c r="U11" t="n">
        <v>13424.442</v>
      </c>
      <c r="V11" t="n">
        <v>3390.386</v>
      </c>
      <c r="W11" t="n">
        <v>3359.448</v>
      </c>
      <c r="X11" t="n">
        <v>3214.825</v>
      </c>
      <c r="Y11" s="9">
        <f>Z11-V11-W11-X11</f>
        <v/>
      </c>
      <c r="Z11" t="n">
        <v>13356.611</v>
      </c>
    </row>
    <row r="12">
      <c r="A12" s="1" t="inlineStr">
        <is>
          <t>กำไรสุทธิ (รวม)</t>
        </is>
      </c>
      <c r="B12" t="n">
        <v>-480.758</v>
      </c>
      <c r="C12" t="n">
        <v>-634.245</v>
      </c>
      <c r="D12" t="n">
        <v>-832.299</v>
      </c>
      <c r="E12" s="9">
        <f>F12-B12-C12-D12</f>
        <v/>
      </c>
      <c r="F12" t="n">
        <v>-1757.4</v>
      </c>
      <c r="G12" t="n">
        <v>-23.161</v>
      </c>
      <c r="H12" t="n">
        <v>18.661</v>
      </c>
      <c r="I12" t="n">
        <v>-90.175</v>
      </c>
      <c r="J12" s="9">
        <f>K12-G12-H12-I12</f>
        <v/>
      </c>
      <c r="K12" t="n">
        <v>414.432</v>
      </c>
      <c r="L12" t="n">
        <v>680.9349999999999</v>
      </c>
      <c r="M12" t="n">
        <v>99.086</v>
      </c>
      <c r="N12" t="n">
        <v>53.971</v>
      </c>
      <c r="O12" s="9">
        <f>P12-L12-M12-N12</f>
        <v/>
      </c>
      <c r="P12" t="n">
        <v>1256.213</v>
      </c>
      <c r="Q12" t="n">
        <v>785.318</v>
      </c>
      <c r="R12" t="n">
        <v>124.139</v>
      </c>
      <c r="S12" t="n">
        <v>150.556</v>
      </c>
      <c r="T12" s="9">
        <f>U12-Q12-R12-S12</f>
        <v/>
      </c>
      <c r="U12" t="n">
        <v>1696.274</v>
      </c>
      <c r="V12" t="n">
        <v>761.578</v>
      </c>
      <c r="W12" t="n">
        <v>85.85899999999999</v>
      </c>
      <c r="X12" t="n">
        <v>142.249</v>
      </c>
      <c r="Y12" s="9">
        <f>Z12-V12-W12-X12</f>
        <v/>
      </c>
      <c r="Z12" t="n">
        <v>1964.146</v>
      </c>
    </row>
    <row r="13">
      <c r="A13" s="1" t="inlineStr">
        <is>
          <t>กำไรสุทธิ (ส่วนแม่)</t>
        </is>
      </c>
      <c r="B13" t="n">
        <v>-475.727</v>
      </c>
      <c r="C13" t="n">
        <v>-606.4930000000001</v>
      </c>
      <c r="D13" t="n">
        <v>-803.319</v>
      </c>
      <c r="E13" s="9">
        <f>F13-B13-C13-D13</f>
        <v/>
      </c>
      <c r="F13" t="n">
        <v>-1733.207</v>
      </c>
      <c r="G13" t="n">
        <v>-43.692</v>
      </c>
      <c r="H13" t="n">
        <v>22.063</v>
      </c>
      <c r="I13" t="n">
        <v>-78.062</v>
      </c>
      <c r="J13" s="9">
        <f>K13-G13-H13-I13</f>
        <v/>
      </c>
      <c r="K13" t="n">
        <v>398.082</v>
      </c>
      <c r="L13" t="n">
        <v>629.08</v>
      </c>
      <c r="M13" t="n">
        <v>120.632</v>
      </c>
      <c r="N13" t="n">
        <v>73.77200000000001</v>
      </c>
      <c r="O13" s="9">
        <f>P13-L13-M13-N13</f>
        <v/>
      </c>
      <c r="P13" t="n">
        <v>1248.096</v>
      </c>
      <c r="Q13" t="n">
        <v>755.314</v>
      </c>
      <c r="R13" t="n">
        <v>167.522</v>
      </c>
      <c r="S13" t="n">
        <v>163.096</v>
      </c>
      <c r="T13" s="9">
        <f>U13-Q13-R13-S13</f>
        <v/>
      </c>
      <c r="U13" t="n">
        <v>1752.985</v>
      </c>
      <c r="V13" t="n">
        <v>747.845</v>
      </c>
      <c r="W13" t="n">
        <v>110.343</v>
      </c>
      <c r="X13" t="n">
        <v>160.361</v>
      </c>
      <c r="Y13" s="9">
        <f>Z13-V13-W13-X13</f>
        <v/>
      </c>
      <c r="Z13" t="n">
        <v>1992.902</v>
      </c>
    </row>
    <row r="14">
      <c r="A14" s="7" t="inlineStr">
        <is>
          <t>■ DUSIT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1" t="inlineStr">
        <is>
          <t>รายได้รวม</t>
        </is>
      </c>
      <c r="B15" t="n">
        <v>666.595</v>
      </c>
      <c r="C15" t="n">
        <v>632.841</v>
      </c>
      <c r="D15" t="n">
        <v>830.933</v>
      </c>
      <c r="E15" s="9">
        <f>F15-B15-C15-D15</f>
        <v/>
      </c>
      <c r="F15" t="n">
        <v>3427.418</v>
      </c>
      <c r="G15" t="n">
        <v>1112.198</v>
      </c>
      <c r="H15" t="n">
        <v>1033.032</v>
      </c>
      <c r="I15" t="n">
        <v>1257.963</v>
      </c>
      <c r="J15" s="9">
        <f>K15-G15-H15-I15</f>
        <v/>
      </c>
      <c r="K15" t="n">
        <v>5104.079</v>
      </c>
      <c r="L15" t="n">
        <v>1688.672</v>
      </c>
      <c r="M15" t="n">
        <v>1348.349</v>
      </c>
      <c r="N15" t="n">
        <v>1415.732</v>
      </c>
      <c r="O15" s="9">
        <f>P15-L15-M15-N15</f>
        <v/>
      </c>
      <c r="P15" t="n">
        <v>6361.84</v>
      </c>
      <c r="Q15" t="n">
        <v>2105.334</v>
      </c>
      <c r="R15" t="n">
        <v>1561.562</v>
      </c>
      <c r="S15" t="n">
        <v>1441.319</v>
      </c>
      <c r="T15" s="9">
        <f>U15-Q15-R15-S15</f>
        <v/>
      </c>
      <c r="U15" t="n">
        <v>11080.275</v>
      </c>
      <c r="V15" t="n">
        <v>2344.842</v>
      </c>
      <c r="W15" t="n">
        <v>1709.084</v>
      </c>
      <c r="X15" t="n">
        <v>1751.875</v>
      </c>
      <c r="Y15" s="9">
        <f>Z15-V15-W15-X15</f>
        <v/>
      </c>
      <c r="Z15" t="n">
        <v>8923.996999999999</v>
      </c>
    </row>
    <row r="16">
      <c r="A16" s="1" t="inlineStr">
        <is>
          <t>รายได้อื่น</t>
        </is>
      </c>
      <c r="B16" t="n">
        <v>111.981</v>
      </c>
      <c r="C16" t="n">
        <v>95.873</v>
      </c>
      <c r="D16" t="n">
        <v>83.685</v>
      </c>
      <c r="E16" s="9">
        <f>F16-B16-C16-D16</f>
        <v/>
      </c>
      <c r="F16" t="n">
        <v>415.078</v>
      </c>
      <c r="G16" t="n">
        <v>78.605</v>
      </c>
      <c r="H16" t="n">
        <v>143.172</v>
      </c>
      <c r="I16" t="n">
        <v>244.914</v>
      </c>
      <c r="J16" s="9">
        <f>K16-G16-H16-I16</f>
        <v/>
      </c>
      <c r="K16" t="n">
        <v>613.544</v>
      </c>
      <c r="L16" t="n">
        <v>204.263</v>
      </c>
      <c r="M16" t="n">
        <v>212.948</v>
      </c>
      <c r="N16" t="n">
        <v>221.776</v>
      </c>
      <c r="O16" s="9">
        <f>P16-L16-M16-N16</f>
        <v/>
      </c>
      <c r="P16" t="n">
        <v>881.649</v>
      </c>
      <c r="Q16" t="n">
        <v>279.83</v>
      </c>
      <c r="R16" t="n">
        <v>170.769</v>
      </c>
      <c r="S16" t="n">
        <v>168.247</v>
      </c>
      <c r="T16" s="9">
        <f>U16-Q16-R16-S16</f>
        <v/>
      </c>
      <c r="U16" t="n">
        <v>905.859</v>
      </c>
      <c r="V16" t="n">
        <v>218.828</v>
      </c>
      <c r="W16" t="n">
        <v>213.603</v>
      </c>
      <c r="X16" t="n">
        <v>218.099</v>
      </c>
      <c r="Y16" s="9">
        <f>Z16-V16-W16-X16</f>
        <v/>
      </c>
      <c r="Z16" t="n">
        <v>1013.082</v>
      </c>
    </row>
    <row r="17">
      <c r="A17" s="1" t="inlineStr">
        <is>
          <t>ต้นทุนขาย (จริง)</t>
        </is>
      </c>
      <c r="B17" t="n">
        <v>508.519</v>
      </c>
      <c r="C17" t="n">
        <v>402.241</v>
      </c>
      <c r="D17" t="n">
        <v>541.069</v>
      </c>
      <c r="E17" s="9">
        <f>F17-B17-C17-D17</f>
        <v/>
      </c>
      <c r="F17" t="n">
        <v>2043.818</v>
      </c>
      <c r="G17" t="n">
        <v>618.443</v>
      </c>
      <c r="H17" t="n">
        <v>646.479</v>
      </c>
      <c r="I17" t="n">
        <v>721.753</v>
      </c>
      <c r="J17" s="9">
        <f>K17-G17-H17-I17</f>
        <v/>
      </c>
      <c r="K17" t="n">
        <v>2851.015</v>
      </c>
      <c r="L17" t="n">
        <v>897.178</v>
      </c>
      <c r="M17" t="n">
        <v>772.196</v>
      </c>
      <c r="N17" t="n">
        <v>843.255</v>
      </c>
      <c r="O17" s="9">
        <f>P17-L17-M17-N17</f>
        <v/>
      </c>
      <c r="P17" t="n">
        <v>3612.823</v>
      </c>
      <c r="Q17" t="n">
        <v>1105.459</v>
      </c>
      <c r="R17" t="n">
        <v>917.9349999999999</v>
      </c>
      <c r="S17" t="n">
        <v>888.6900000000001</v>
      </c>
      <c r="T17" s="9">
        <f>U17-Q17-R17-S17</f>
        <v/>
      </c>
      <c r="U17" t="n">
        <v>7228.101</v>
      </c>
      <c r="V17" t="n">
        <v>1355.983</v>
      </c>
      <c r="W17" t="n">
        <v>1068.566</v>
      </c>
      <c r="X17" t="n">
        <v>1139.186</v>
      </c>
      <c r="Y17" s="9">
        <f>Z17-V17-W17-X17</f>
        <v/>
      </c>
      <c r="Z17" t="n">
        <v>5378.316</v>
      </c>
    </row>
    <row r="18">
      <c r="A18" s="1" t="inlineStr">
        <is>
          <t>กำไรสุทธิ (รวม)</t>
        </is>
      </c>
      <c r="B18" t="n">
        <v>55.029</v>
      </c>
      <c r="C18" t="n">
        <v>-407.99</v>
      </c>
      <c r="D18" t="n">
        <v>-304.231</v>
      </c>
      <c r="E18" s="9">
        <f>F18-B18-C18-D18</f>
        <v/>
      </c>
      <c r="F18" t="n">
        <v>-1023.973</v>
      </c>
      <c r="G18" t="n">
        <v>-145.62</v>
      </c>
      <c r="H18" t="n">
        <v>-275.736</v>
      </c>
      <c r="I18" t="n">
        <v>-183.952</v>
      </c>
      <c r="J18" s="9">
        <f>K18-G18-H18-I18</f>
        <v/>
      </c>
      <c r="K18" t="n">
        <v>-547.147</v>
      </c>
      <c r="L18" t="n">
        <v>11.324</v>
      </c>
      <c r="M18" t="n">
        <v>-193.65</v>
      </c>
      <c r="N18" t="n">
        <v>-253.504</v>
      </c>
      <c r="O18" s="9">
        <f>P18-L18-M18-N18</f>
        <v/>
      </c>
      <c r="P18" t="n">
        <v>-584.066</v>
      </c>
      <c r="Q18" t="n">
        <v>126.005</v>
      </c>
      <c r="R18" t="n">
        <v>-136.814</v>
      </c>
      <c r="S18" t="n">
        <v>-571.999</v>
      </c>
      <c r="T18" s="9">
        <f>U18-Q18-R18-S18</f>
        <v/>
      </c>
      <c r="U18" t="n">
        <v>-151.367</v>
      </c>
      <c r="V18" t="n">
        <v>36.15</v>
      </c>
      <c r="W18" t="n">
        <v>-324.379</v>
      </c>
      <c r="X18" t="n">
        <v>-422.865</v>
      </c>
      <c r="Y18" s="9">
        <f>Z18-V18-W18-X18</f>
        <v/>
      </c>
      <c r="Z18" t="n">
        <v>-470.835</v>
      </c>
    </row>
    <row r="19">
      <c r="A19" s="1" t="inlineStr">
        <is>
          <t>กำไรสุทธิ (ส่วนแม่)</t>
        </is>
      </c>
      <c r="B19" t="n">
        <v>73.786</v>
      </c>
      <c r="C19" t="n">
        <v>-375.562</v>
      </c>
      <c r="D19" t="n">
        <v>-301.809</v>
      </c>
      <c r="E19" s="9">
        <f>F19-B19-C19-D19</f>
        <v/>
      </c>
      <c r="F19" t="n">
        <v>-944.997</v>
      </c>
      <c r="G19" t="n">
        <v>-128.665</v>
      </c>
      <c r="H19" t="n">
        <v>-257.749</v>
      </c>
      <c r="I19" t="n">
        <v>-161.23</v>
      </c>
      <c r="J19" s="9">
        <f>K19-G19-H19-I19</f>
        <v/>
      </c>
      <c r="K19" t="n">
        <v>-501.462</v>
      </c>
      <c r="L19" t="n">
        <v>8.628</v>
      </c>
      <c r="M19" t="n">
        <v>-185.949</v>
      </c>
      <c r="N19" t="n">
        <v>-246.966</v>
      </c>
      <c r="O19" s="9">
        <f>P19-L19-M19-N19</f>
        <v/>
      </c>
      <c r="P19" t="n">
        <v>-569.8200000000001</v>
      </c>
      <c r="Q19" t="n">
        <v>122.117</v>
      </c>
      <c r="R19" t="n">
        <v>-130.848</v>
      </c>
      <c r="S19" t="n">
        <v>-538.078</v>
      </c>
      <c r="T19" s="9">
        <f>U19-Q19-R19-S19</f>
        <v/>
      </c>
      <c r="U19" t="n">
        <v>-236.765</v>
      </c>
      <c r="V19" t="n">
        <v>47.856</v>
      </c>
      <c r="W19" t="n">
        <v>-290.72</v>
      </c>
      <c r="X19" t="n">
        <v>-383.733</v>
      </c>
      <c r="Y19" s="9">
        <f>Z19-V19-W19-X19</f>
        <v/>
      </c>
      <c r="Z19" t="n">
        <v>-453.313</v>
      </c>
    </row>
    <row r="20">
      <c r="A20" s="7" t="inlineStr">
        <is>
          <t>■ ERW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1" t="inlineStr">
        <is>
          <t>รายได้รวม</t>
        </is>
      </c>
      <c r="B21" t="n">
        <v>390.059</v>
      </c>
      <c r="C21" t="n">
        <v>269.132</v>
      </c>
      <c r="D21" t="n">
        <v>253.762</v>
      </c>
      <c r="E21" s="9">
        <f>F21-B21-C21-D21</f>
        <v/>
      </c>
      <c r="F21" t="n">
        <v>1641.258</v>
      </c>
      <c r="G21" t="n">
        <v>646.0940000000001</v>
      </c>
      <c r="H21" t="n">
        <v>1006.085</v>
      </c>
      <c r="I21" t="n">
        <v>1289.39</v>
      </c>
      <c r="J21" s="9">
        <f>K21-G21-H21-I21</f>
        <v/>
      </c>
      <c r="K21" t="n">
        <v>4717.288</v>
      </c>
      <c r="L21" t="n">
        <v>1774.625</v>
      </c>
      <c r="M21" t="n">
        <v>1641.935</v>
      </c>
      <c r="N21" t="n">
        <v>1742.8</v>
      </c>
      <c r="O21" s="9">
        <f>P21-L21-M21-N21</f>
        <v/>
      </c>
      <c r="P21" t="n">
        <v>7046.29</v>
      </c>
      <c r="Q21" t="n">
        <v>2119.357</v>
      </c>
      <c r="R21" t="n">
        <v>1843.268</v>
      </c>
      <c r="S21" t="n">
        <v>1856.024</v>
      </c>
      <c r="T21" s="9">
        <f>U21-Q21-R21-S21</f>
        <v/>
      </c>
      <c r="U21" t="n">
        <v>8053.926</v>
      </c>
      <c r="V21" t="n">
        <v>2135.663</v>
      </c>
      <c r="W21" t="n">
        <v>1753.339</v>
      </c>
      <c r="X21" t="n">
        <v>1788.638</v>
      </c>
      <c r="Y21" s="9">
        <f>Z21-V21-W21-X21</f>
        <v/>
      </c>
      <c r="Z21" t="n">
        <v>7937.392</v>
      </c>
    </row>
    <row r="22">
      <c r="A22" s="1" t="inlineStr">
        <is>
          <t>รายได้อื่น</t>
        </is>
      </c>
      <c r="B22" t="n">
        <v>16.644</v>
      </c>
      <c r="C22" t="n">
        <v>23.294</v>
      </c>
      <c r="D22" t="n">
        <v>70.71899999999999</v>
      </c>
      <c r="E22" s="9">
        <f>F22-B22-C22-D22</f>
        <v/>
      </c>
      <c r="F22" t="n">
        <v>77.11799999999999</v>
      </c>
      <c r="G22" t="n">
        <v>12.487</v>
      </c>
      <c r="H22" t="n">
        <v>69.651</v>
      </c>
      <c r="I22" t="n">
        <v>49.647</v>
      </c>
      <c r="J22" s="9">
        <f>K22-G22-H22-I22</f>
        <v/>
      </c>
      <c r="K22" t="n">
        <v>86.023</v>
      </c>
      <c r="L22" t="n">
        <v>25.444</v>
      </c>
      <c r="M22" t="n">
        <v>52.552</v>
      </c>
      <c r="N22" t="n">
        <v>48.472</v>
      </c>
      <c r="O22" s="9">
        <f>P22-L22-M22-N22</f>
        <v/>
      </c>
      <c r="P22" t="n">
        <v>52.98</v>
      </c>
      <c r="Q22" t="n">
        <v>14.968</v>
      </c>
      <c r="R22" t="n">
        <v>28.872</v>
      </c>
      <c r="S22" t="n">
        <v>33.976</v>
      </c>
      <c r="T22" s="9">
        <f>U22-Q22-R22-S22</f>
        <v/>
      </c>
      <c r="U22" t="n">
        <v>45.19</v>
      </c>
      <c r="V22" t="n">
        <v>6.865</v>
      </c>
      <c r="W22" t="n">
        <v>7.545</v>
      </c>
      <c r="X22" t="n">
        <v>23.796</v>
      </c>
      <c r="Y22" s="9">
        <f>Z22-V22-W22-X22</f>
        <v/>
      </c>
      <c r="Z22" t="n">
        <v>25.178</v>
      </c>
    </row>
    <row r="23">
      <c r="A23" s="1" t="inlineStr">
        <is>
          <t>ต้นทุนขาย (จริง)</t>
        </is>
      </c>
      <c r="B23" t="n">
        <v>315.026</v>
      </c>
      <c r="C23" t="n">
        <v>284.888</v>
      </c>
      <c r="D23" t="n">
        <v>286.682</v>
      </c>
      <c r="E23" s="9">
        <f>F23-B23-C23-D23</f>
        <v/>
      </c>
      <c r="F23" t="n">
        <v>1284.16</v>
      </c>
      <c r="G23" t="n">
        <v>404.82</v>
      </c>
      <c r="H23" t="n">
        <v>519.9880000000001</v>
      </c>
      <c r="I23" t="n">
        <v>607.211</v>
      </c>
      <c r="J23" s="9">
        <f>K23-G23-H23-I23</f>
        <v/>
      </c>
      <c r="K23" t="n">
        <v>2282.152</v>
      </c>
      <c r="L23" t="n">
        <v>775.229</v>
      </c>
      <c r="M23" t="n">
        <v>726.693</v>
      </c>
      <c r="N23" t="n">
        <v>757.077</v>
      </c>
      <c r="O23" s="9">
        <f>P23-L23-M23-N23</f>
        <v/>
      </c>
      <c r="P23" t="n">
        <v>3034.518</v>
      </c>
      <c r="Q23" t="n">
        <v>793.662</v>
      </c>
      <c r="R23" t="n">
        <v>809.742</v>
      </c>
      <c r="S23" t="n">
        <v>812.235</v>
      </c>
      <c r="T23" s="9">
        <f>U23-Q23-R23-S23</f>
        <v/>
      </c>
      <c r="U23" t="n">
        <v>3275.985</v>
      </c>
      <c r="V23" t="n">
        <v>836.5890000000001</v>
      </c>
      <c r="W23" t="n">
        <v>792.994</v>
      </c>
      <c r="X23" t="n">
        <v>801.101</v>
      </c>
      <c r="Y23" s="9">
        <f>Z23-V23-W23-X23</f>
        <v/>
      </c>
      <c r="Z23" t="n">
        <v>3265.028</v>
      </c>
    </row>
    <row r="24">
      <c r="A24" s="1" t="inlineStr">
        <is>
          <t>กำไรสุทธิ (รวม)</t>
        </is>
      </c>
      <c r="B24" t="n">
        <v>-512.877</v>
      </c>
      <c r="C24" t="n">
        <v>-716.788</v>
      </c>
      <c r="D24" t="n">
        <v>-667.617</v>
      </c>
      <c r="E24" s="9">
        <f>F24-B24-C24-D24</f>
        <v/>
      </c>
      <c r="F24" t="n">
        <v>-2155.372</v>
      </c>
      <c r="G24" t="n">
        <v>-324.862</v>
      </c>
      <c r="H24" t="n">
        <v>-143.041</v>
      </c>
      <c r="I24" t="n">
        <v>-5.353</v>
      </c>
      <c r="J24" s="9">
        <f>K24-G24-H24-I24</f>
        <v/>
      </c>
      <c r="K24" t="n">
        <v>-213.062</v>
      </c>
      <c r="L24" t="n">
        <v>237.391</v>
      </c>
      <c r="M24" t="n">
        <v>143.879</v>
      </c>
      <c r="N24" t="n">
        <v>155.228</v>
      </c>
      <c r="O24" s="9">
        <f>P24-L24-M24-N24</f>
        <v/>
      </c>
      <c r="P24" t="n">
        <v>759.877</v>
      </c>
      <c r="Q24" t="n">
        <v>428.404</v>
      </c>
      <c r="R24" t="n">
        <v>365.506</v>
      </c>
      <c r="S24" t="n">
        <v>124.49</v>
      </c>
      <c r="T24" s="9">
        <f>U24-Q24-R24-S24</f>
        <v/>
      </c>
      <c r="U24" t="n">
        <v>1312.506</v>
      </c>
      <c r="V24" t="n">
        <v>362.736</v>
      </c>
      <c r="W24" t="n">
        <v>69.78</v>
      </c>
      <c r="X24" t="n">
        <v>59.797</v>
      </c>
      <c r="Y24" s="9">
        <f>Z24-V24-W24-X24</f>
        <v/>
      </c>
      <c r="Z24" t="n">
        <v>904.756</v>
      </c>
    </row>
    <row r="25">
      <c r="A25" s="1" t="inlineStr">
        <is>
          <t>กำไรสุทธิ (ส่วนแม่)</t>
        </is>
      </c>
      <c r="B25" t="n">
        <v>-491.944</v>
      </c>
      <c r="C25" t="n">
        <v>-689.778</v>
      </c>
      <c r="D25" t="n">
        <v>-622.789</v>
      </c>
      <c r="E25" s="9">
        <f>F25-B25-C25-D25</f>
        <v/>
      </c>
      <c r="F25" t="n">
        <v>-2050.217</v>
      </c>
      <c r="G25" t="n">
        <v>-313.095</v>
      </c>
      <c r="H25" t="n">
        <v>-139.108</v>
      </c>
      <c r="I25" t="n">
        <v>-11.52</v>
      </c>
      <c r="J25" s="9">
        <f>K25-G25-H25-I25</f>
        <v/>
      </c>
      <c r="K25" t="n">
        <v>-224.19</v>
      </c>
      <c r="L25" t="n">
        <v>238.561</v>
      </c>
      <c r="M25" t="n">
        <v>141.969</v>
      </c>
      <c r="N25" t="n">
        <v>148.293</v>
      </c>
      <c r="O25" s="9">
        <f>P25-L25-M25-N25</f>
        <v/>
      </c>
      <c r="P25" t="n">
        <v>742.6559999999999</v>
      </c>
      <c r="Q25" t="n">
        <v>416.953</v>
      </c>
      <c r="R25" t="n">
        <v>361.434</v>
      </c>
      <c r="S25" t="n">
        <v>124.53</v>
      </c>
      <c r="T25" s="9">
        <f>U25-Q25-R25-S25</f>
        <v/>
      </c>
      <c r="U25" t="n">
        <v>1280.743</v>
      </c>
      <c r="V25" t="n">
        <v>345.382</v>
      </c>
      <c r="W25" t="n">
        <v>63.009</v>
      </c>
      <c r="X25" t="n">
        <v>56.6</v>
      </c>
      <c r="Y25" s="9">
        <f>Z25-V25-W25-X25</f>
        <v/>
      </c>
      <c r="Z25" t="n">
        <v>838.085</v>
      </c>
    </row>
    <row r="26">
      <c r="A26" s="7" t="inlineStr">
        <is>
          <t>■ MANRIN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1" t="inlineStr">
        <is>
          <t>รายได้รวม</t>
        </is>
      </c>
      <c r="B27" t="n">
        <v>9.414</v>
      </c>
      <c r="C27" t="n">
        <v>4.916</v>
      </c>
      <c r="D27" t="n">
        <v>2.01</v>
      </c>
      <c r="E27" t="n">
        <v>9.366</v>
      </c>
      <c r="F27" s="9">
        <f>B27+C27+D27+E27</f>
        <v/>
      </c>
      <c r="G27" t="n">
        <v>13.143</v>
      </c>
      <c r="H27" t="n">
        <v>32.014</v>
      </c>
      <c r="I27" t="n">
        <v>51.026</v>
      </c>
      <c r="J27" t="n">
        <v>71.111</v>
      </c>
      <c r="K27" s="9">
        <f>G27+H27+I27+J27</f>
        <v/>
      </c>
      <c r="L27" t="n">
        <v>76.04000000000001</v>
      </c>
      <c r="M27" t="n">
        <v>68.61499999999999</v>
      </c>
      <c r="N27" t="n">
        <v>90.678</v>
      </c>
      <c r="O27" t="n">
        <v>89.961</v>
      </c>
      <c r="P27" s="9">
        <f>L27+M27+N27+O27</f>
        <v/>
      </c>
      <c r="Q27" t="n">
        <v>93.40300000000001</v>
      </c>
      <c r="R27" t="n">
        <v>80.831</v>
      </c>
      <c r="S27" t="n">
        <v>99.85599999999999</v>
      </c>
      <c r="T27" s="9">
        <f>U27-Q27-R27-S27</f>
        <v/>
      </c>
      <c r="U27" t="n">
        <v>376.742</v>
      </c>
      <c r="V27" t="n">
        <v>97.881</v>
      </c>
      <c r="W27" t="n">
        <v>75.44499999999999</v>
      </c>
      <c r="X27" t="n">
        <v>95.086</v>
      </c>
      <c r="Y27" s="9">
        <f>Z27-V27-W27-X27</f>
        <v/>
      </c>
      <c r="Z27" t="n">
        <v>363.247</v>
      </c>
    </row>
    <row r="28">
      <c r="A28" s="1" t="inlineStr">
        <is>
          <t>รายได้อื่น</t>
        </is>
      </c>
      <c r="B28" t="n">
        <v>0.097</v>
      </c>
      <c r="C28" t="n">
        <v>1.16</v>
      </c>
      <c r="D28" t="n">
        <v>0.404</v>
      </c>
      <c r="E28" t="n">
        <v>1.277</v>
      </c>
      <c r="F28" s="9">
        <f>B28+C28+D28+E28</f>
        <v/>
      </c>
      <c r="G28" t="n">
        <v>0.435</v>
      </c>
      <c r="H28" t="n">
        <v>1.8</v>
      </c>
      <c r="I28" t="n">
        <v>0.271</v>
      </c>
      <c r="J28" t="n">
        <v>0.08500000000000001</v>
      </c>
      <c r="K28" s="9">
        <f>G28+H28+I28+J28</f>
        <v/>
      </c>
      <c r="L28" t="n">
        <v>0.302</v>
      </c>
      <c r="M28" t="n">
        <v>0.279</v>
      </c>
      <c r="N28" t="n">
        <v>0.416</v>
      </c>
      <c r="O28" t="n">
        <v>0.343</v>
      </c>
      <c r="P28" s="9">
        <f>L28+M28+N28+O28</f>
        <v/>
      </c>
      <c r="Q28" t="n">
        <v>0.262</v>
      </c>
      <c r="R28" t="n">
        <v>0.338</v>
      </c>
      <c r="S28" t="n">
        <v>0.239</v>
      </c>
      <c r="T28" s="9">
        <f>U28-Q28-R28-S28</f>
        <v/>
      </c>
      <c r="U28" t="n">
        <v>1.161</v>
      </c>
      <c r="V28" t="n">
        <v>0.176</v>
      </c>
      <c r="W28" t="n">
        <v>0.532</v>
      </c>
      <c r="X28" t="n">
        <v>0.196</v>
      </c>
      <c r="Y28" s="9">
        <f>Z28-V28-W28-X28</f>
        <v/>
      </c>
      <c r="Z28" t="n">
        <v>1.015</v>
      </c>
    </row>
    <row r="29">
      <c r="A29" s="1" t="inlineStr">
        <is>
          <t>ต้นทุนขาย (จริง)</t>
        </is>
      </c>
      <c r="B29" t="n">
        <v>24.135</v>
      </c>
      <c r="C29" t="n">
        <v>22.547</v>
      </c>
      <c r="D29" t="n">
        <v>20.772</v>
      </c>
      <c r="E29" t="n">
        <v>24.077</v>
      </c>
      <c r="F29" s="9">
        <f>B29+C29+D29+E29</f>
        <v/>
      </c>
      <c r="G29" t="n">
        <v>27.44</v>
      </c>
      <c r="H29" t="n">
        <v>34.428</v>
      </c>
      <c r="I29" t="n">
        <v>42.762</v>
      </c>
      <c r="J29" t="n">
        <v>48.739</v>
      </c>
      <c r="K29" s="9">
        <f>G29+H29+I29+J29</f>
        <v/>
      </c>
      <c r="L29" t="n">
        <v>51.265</v>
      </c>
      <c r="M29" t="n">
        <v>46.198</v>
      </c>
      <c r="N29" t="n">
        <v>55.052</v>
      </c>
      <c r="O29" t="n">
        <v>52.535</v>
      </c>
      <c r="P29" s="9">
        <f>L29+M29+N29+O29</f>
        <v/>
      </c>
      <c r="Q29" t="n">
        <v>50.823</v>
      </c>
      <c r="R29" t="n">
        <v>46.844</v>
      </c>
      <c r="S29" t="n">
        <v>55.598</v>
      </c>
      <c r="T29" s="9">
        <f>U29-Q29-R29-S29</f>
        <v/>
      </c>
      <c r="U29" t="n">
        <v>210.68</v>
      </c>
      <c r="V29" t="n">
        <v>53.115</v>
      </c>
      <c r="W29" t="n">
        <v>48.048</v>
      </c>
      <c r="X29" t="n">
        <v>57.538</v>
      </c>
      <c r="Y29" s="9">
        <f>Z29-V29-W29-X29</f>
        <v/>
      </c>
      <c r="Z29" t="n">
        <v>213.736</v>
      </c>
    </row>
    <row r="30">
      <c r="A30" s="1" t="inlineStr">
        <is>
          <t>กำไรสุทธิ (รวม)</t>
        </is>
      </c>
      <c r="B30" t="n">
        <v>-16.489</v>
      </c>
      <c r="C30" t="n">
        <v>-22.583</v>
      </c>
      <c r="D30" t="n">
        <v>12.558</v>
      </c>
      <c r="E30" t="n">
        <v>-22.328</v>
      </c>
      <c r="F30" s="9">
        <f>B30+C30+D30+E30</f>
        <v/>
      </c>
      <c r="G30" t="n">
        <v>-30.293</v>
      </c>
      <c r="H30" t="n">
        <v>-12.05</v>
      </c>
      <c r="I30" t="n">
        <v>-4.503</v>
      </c>
      <c r="J30" t="n">
        <v>6.961</v>
      </c>
      <c r="K30" s="9">
        <f>G30+H30+I30+J30</f>
        <v/>
      </c>
      <c r="L30" t="n">
        <v>6.844</v>
      </c>
      <c r="M30" t="n">
        <v>1.195</v>
      </c>
      <c r="N30" t="n">
        <v>15.371</v>
      </c>
      <c r="O30" t="n">
        <v>11.273</v>
      </c>
      <c r="P30" s="9">
        <f>L30+M30+N30+O30</f>
        <v/>
      </c>
      <c r="Q30" t="n">
        <v>13.794</v>
      </c>
      <c r="R30" t="n">
        <v>6.882</v>
      </c>
      <c r="S30" t="n">
        <v>18.194</v>
      </c>
      <c r="T30" s="9">
        <f>U30-Q30-R30-S30</f>
        <v/>
      </c>
      <c r="U30" t="n">
        <v>50.821</v>
      </c>
      <c r="V30" t="n">
        <v>14.114</v>
      </c>
      <c r="W30" t="n">
        <v>3.665</v>
      </c>
      <c r="X30" t="n">
        <v>11.84</v>
      </c>
      <c r="Y30" s="9">
        <f>Z30-V30-W30-X30</f>
        <v/>
      </c>
      <c r="Z30" t="n">
        <v>39.818</v>
      </c>
    </row>
    <row r="31">
      <c r="A31" s="1" t="inlineStr">
        <is>
          <t>กำไรสุทธิ (ส่วนแม่)</t>
        </is>
      </c>
      <c r="B31" t="n">
        <v>-16.489</v>
      </c>
      <c r="C31" t="n">
        <v>-22.583</v>
      </c>
      <c r="D31" t="n">
        <v>12.558</v>
      </c>
      <c r="E31" t="n">
        <v>-22.328</v>
      </c>
      <c r="F31" s="9">
        <f>B31+C31+D31+E31</f>
        <v/>
      </c>
      <c r="G31" t="n">
        <v>-30.293</v>
      </c>
      <c r="H31" t="n">
        <v>-12.05</v>
      </c>
      <c r="I31" t="n">
        <v>-4.503</v>
      </c>
      <c r="J31" t="n">
        <v>6.961</v>
      </c>
      <c r="K31" s="9">
        <f>G31+H31+I31+J31</f>
        <v/>
      </c>
      <c r="L31" t="n">
        <v>6.844</v>
      </c>
      <c r="M31" t="n">
        <v>1.195</v>
      </c>
      <c r="N31" t="n">
        <v>15.371</v>
      </c>
      <c r="O31" t="n">
        <v>11.273</v>
      </c>
      <c r="P31" s="9">
        <f>L31+M31+N31+O31</f>
        <v/>
      </c>
      <c r="Q31" t="n">
        <v>13.794</v>
      </c>
      <c r="R31" t="n">
        <v>6.882</v>
      </c>
      <c r="S31" t="n">
        <v>18.194</v>
      </c>
      <c r="T31" s="9">
        <f>U31-Q31-R31-S31</f>
        <v/>
      </c>
      <c r="U31" t="n">
        <v>50.821</v>
      </c>
      <c r="V31" t="n">
        <v>14.114</v>
      </c>
      <c r="W31" t="n">
        <v>3.665</v>
      </c>
      <c r="X31" t="n">
        <v>11.84</v>
      </c>
      <c r="Y31" s="9">
        <f>Z31-V31-W31-X31</f>
        <v/>
      </c>
      <c r="Z31" t="n">
        <v>39.818</v>
      </c>
    </row>
    <row r="32">
      <c r="A32" s="7" t="inlineStr">
        <is>
          <t>■ MINT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1" t="inlineStr">
        <is>
          <t>รายได้รวม</t>
        </is>
      </c>
      <c r="B33" t="n">
        <v>12653.858</v>
      </c>
      <c r="C33" t="n">
        <v>15840.486</v>
      </c>
      <c r="D33" t="n">
        <v>20789.337</v>
      </c>
      <c r="E33" s="9">
        <f>F33-B33-C33-D33</f>
        <v/>
      </c>
      <c r="F33" t="n">
        <v>76211.261</v>
      </c>
      <c r="G33" t="n">
        <v>20672.252</v>
      </c>
      <c r="H33" t="n">
        <v>32348.359</v>
      </c>
      <c r="I33" t="n">
        <v>35153.927</v>
      </c>
      <c r="J33" s="9">
        <f>K33-G33-H33-I33</f>
        <v/>
      </c>
      <c r="K33" t="n">
        <v>124205.848</v>
      </c>
      <c r="L33" t="n">
        <v>32229.34</v>
      </c>
      <c r="M33" t="n">
        <v>40588.347</v>
      </c>
      <c r="N33" t="n">
        <v>39840.815</v>
      </c>
      <c r="O33" s="9">
        <f>P33-L33-M33-N33</f>
        <v/>
      </c>
      <c r="P33" t="n">
        <v>153049.242</v>
      </c>
      <c r="Q33" t="n">
        <v>37818.351</v>
      </c>
      <c r="R33" t="n">
        <v>44303.008</v>
      </c>
      <c r="S33" t="n">
        <v>41612.614</v>
      </c>
      <c r="T33" s="9">
        <f>U33-Q33-R33-S33</f>
        <v/>
      </c>
      <c r="U33" t="n">
        <v>165362.272</v>
      </c>
      <c r="V33" t="n">
        <v>37267.312</v>
      </c>
      <c r="W33" t="n">
        <v>43497.069</v>
      </c>
      <c r="X33" t="n">
        <v>41174.584</v>
      </c>
      <c r="Y33" s="9">
        <f>Z33-V33-W33-X33</f>
        <v/>
      </c>
      <c r="Z33" t="n">
        <v>165804.714</v>
      </c>
    </row>
    <row r="34">
      <c r="A34" s="1" t="inlineStr">
        <is>
          <t>รายได้อื่น</t>
        </is>
      </c>
      <c r="B34" t="n">
        <v>469.091</v>
      </c>
      <c r="C34" t="n">
        <v>1997.136</v>
      </c>
      <c r="D34" t="n">
        <v>1213.841</v>
      </c>
      <c r="E34" s="9">
        <f>F34-B34-C34-D34</f>
        <v/>
      </c>
      <c r="F34" t="n">
        <v>6096.415</v>
      </c>
      <c r="G34" t="n">
        <v>832.631</v>
      </c>
      <c r="H34" t="n">
        <v>720.23</v>
      </c>
      <c r="I34" t="n">
        <v>985.7</v>
      </c>
      <c r="J34" s="9">
        <f>K34-G34-H34-I34</f>
        <v/>
      </c>
      <c r="K34" t="n">
        <v>3411.985</v>
      </c>
      <c r="L34" t="n">
        <v>694.83</v>
      </c>
      <c r="M34" t="n">
        <v>487.442</v>
      </c>
      <c r="N34" t="n">
        <v>563.386</v>
      </c>
      <c r="O34" s="9">
        <f>P34-L34-M34-N34</f>
        <v/>
      </c>
      <c r="P34" t="n">
        <v>2344.767</v>
      </c>
      <c r="Q34" t="n">
        <v>950.347</v>
      </c>
      <c r="R34" t="n">
        <v>257.577</v>
      </c>
      <c r="S34" t="n">
        <v>693.591</v>
      </c>
      <c r="T34" s="9">
        <f>U34-Q34-R34-S34</f>
        <v/>
      </c>
      <c r="U34" t="n">
        <v>2764.749</v>
      </c>
      <c r="V34" t="n">
        <v>1481.442</v>
      </c>
      <c r="W34" t="n">
        <v>1105.297</v>
      </c>
      <c r="X34" t="n">
        <v>625.543</v>
      </c>
      <c r="Y34" s="9">
        <f>Z34-V34-W34-X34</f>
        <v/>
      </c>
      <c r="Z34" t="n">
        <v>4275.181</v>
      </c>
    </row>
    <row r="35">
      <c r="A35" s="1" t="inlineStr">
        <is>
          <t>ต้นทุนขาย (จริง)</t>
        </is>
      </c>
      <c r="B35" t="n">
        <v>8670.877</v>
      </c>
      <c r="C35" t="n">
        <v>9770.642</v>
      </c>
      <c r="D35" t="n">
        <v>11835.953</v>
      </c>
      <c r="E35" s="9">
        <f>F35-B35-C35-D35</f>
        <v/>
      </c>
      <c r="F35" t="n">
        <v>42471.697</v>
      </c>
      <c r="G35" t="n">
        <v>13113.487</v>
      </c>
      <c r="H35" t="n">
        <v>16080.254</v>
      </c>
      <c r="I35" t="n">
        <v>17222.59</v>
      </c>
      <c r="J35" s="9">
        <f>K35-G35-H35-I35</f>
        <v/>
      </c>
      <c r="K35" t="n">
        <v>63827.792</v>
      </c>
      <c r="L35" t="n">
        <v>17326.308</v>
      </c>
      <c r="M35" t="n">
        <v>19634.453</v>
      </c>
      <c r="N35" t="n">
        <v>19633.64</v>
      </c>
      <c r="O35" s="9">
        <f>P35-L35-M35-N35</f>
        <v/>
      </c>
      <c r="P35" t="n">
        <v>78150.469</v>
      </c>
      <c r="Q35" t="n">
        <v>20253.5</v>
      </c>
      <c r="R35" t="n">
        <v>22584.012</v>
      </c>
      <c r="S35" t="n">
        <v>21452.758</v>
      </c>
      <c r="T35" s="9">
        <f>U35-Q35-R35-S35</f>
        <v/>
      </c>
      <c r="U35" t="n">
        <v>85910.36199999999</v>
      </c>
      <c r="V35" t="n">
        <v>20008.898</v>
      </c>
      <c r="W35" t="n">
        <v>22101.435</v>
      </c>
      <c r="X35" t="n">
        <v>21956.753</v>
      </c>
      <c r="Y35" s="9">
        <f>Z35-V35-W35-X35</f>
        <v/>
      </c>
      <c r="Z35" t="n">
        <v>86221.785</v>
      </c>
    </row>
    <row r="36">
      <c r="A36" s="1" t="inlineStr">
        <is>
          <t>กำไรสุทธิ (รวม)</t>
        </is>
      </c>
      <c r="B36" t="n">
        <v>-7798.673</v>
      </c>
      <c r="C36" t="n">
        <v>-4188.238</v>
      </c>
      <c r="D36" t="n">
        <v>-551.893</v>
      </c>
      <c r="E36" s="9">
        <f>F36-B36-C36-D36</f>
        <v/>
      </c>
      <c r="F36" t="n">
        <v>-14175.37</v>
      </c>
      <c r="G36" t="n">
        <v>-4067.712</v>
      </c>
      <c r="H36" t="n">
        <v>1701.487</v>
      </c>
      <c r="I36" t="n">
        <v>4775.446</v>
      </c>
      <c r="J36" s="9">
        <f>K36-G36-H36-I36</f>
        <v/>
      </c>
      <c r="K36" t="n">
        <v>4522.68</v>
      </c>
      <c r="L36" t="n">
        <v>-940.597</v>
      </c>
      <c r="M36" t="n">
        <v>3490.163</v>
      </c>
      <c r="N36" t="n">
        <v>2323.736</v>
      </c>
      <c r="O36" s="9">
        <f>P36-L36-M36-N36</f>
        <v/>
      </c>
      <c r="P36" t="n">
        <v>6087.974</v>
      </c>
      <c r="Q36" t="n">
        <v>1288.472</v>
      </c>
      <c r="R36" t="n">
        <v>3031.497</v>
      </c>
      <c r="S36" t="n">
        <v>361.424</v>
      </c>
      <c r="T36" s="9">
        <f>U36-Q36-R36-S36</f>
        <v/>
      </c>
      <c r="U36" t="n">
        <v>8601.924000000001</v>
      </c>
      <c r="V36" t="n">
        <v>611.516</v>
      </c>
      <c r="W36" t="n">
        <v>3322.548</v>
      </c>
      <c r="X36" t="n">
        <v>2667.974</v>
      </c>
      <c r="Y36" s="9">
        <f>Z36-V36-W36-X36</f>
        <v/>
      </c>
      <c r="Z36" t="n">
        <v>9839.333000000001</v>
      </c>
    </row>
    <row r="37">
      <c r="A37" s="1" t="inlineStr">
        <is>
          <t>กำไรสุทธิ (ส่วนแม่)</t>
        </is>
      </c>
      <c r="B37" t="n">
        <v>-7249.723</v>
      </c>
      <c r="C37" t="n">
        <v>-3923.912</v>
      </c>
      <c r="D37" t="n">
        <v>-435.558</v>
      </c>
      <c r="E37" s="9">
        <f>F37-B37-C37-D37</f>
        <v/>
      </c>
      <c r="F37" t="n">
        <v>-13166.508</v>
      </c>
      <c r="G37" t="n">
        <v>-3793.733</v>
      </c>
      <c r="H37" t="n">
        <v>1561.499</v>
      </c>
      <c r="I37" t="n">
        <v>4607.942</v>
      </c>
      <c r="J37" s="9">
        <f>K37-G37-H37-I37</f>
        <v/>
      </c>
      <c r="K37" t="n">
        <v>4286.373</v>
      </c>
      <c r="L37" t="n">
        <v>-975.899</v>
      </c>
      <c r="M37" t="n">
        <v>3255.129</v>
      </c>
      <c r="N37" t="n">
        <v>2143.757</v>
      </c>
      <c r="O37" s="9">
        <f>P37-L37-M37-N37</f>
        <v/>
      </c>
      <c r="P37" t="n">
        <v>5407.055</v>
      </c>
      <c r="Q37" t="n">
        <v>1146.079</v>
      </c>
      <c r="R37" t="n">
        <v>2823.217</v>
      </c>
      <c r="S37" t="n">
        <v>149.396</v>
      </c>
      <c r="T37" s="9">
        <f>U37-Q37-R37-S37</f>
        <v/>
      </c>
      <c r="U37" t="n">
        <v>7750.222</v>
      </c>
      <c r="V37" t="n">
        <v>416.865</v>
      </c>
      <c r="W37" t="n">
        <v>3085.506</v>
      </c>
      <c r="X37" t="n">
        <v>2553.479</v>
      </c>
      <c r="Y37" s="9">
        <f>Z37-V37-W37-X37</f>
        <v/>
      </c>
      <c r="Z37" t="n">
        <v>9009.342000000001</v>
      </c>
    </row>
    <row r="38">
      <c r="A38" s="7" t="inlineStr">
        <is>
          <t>■ OHTL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1" t="inlineStr">
        <is>
          <t>รายได้รวม</t>
        </is>
      </c>
      <c r="B39" t="n">
        <v>150.921</v>
      </c>
      <c r="C39" t="n">
        <v>84.16</v>
      </c>
      <c r="D39" t="n">
        <v>106.611</v>
      </c>
      <c r="E39" s="9">
        <f>F39-B39-C39-D39</f>
        <v/>
      </c>
      <c r="F39" t="n">
        <v>562.367</v>
      </c>
      <c r="G39" t="n">
        <v>253.984</v>
      </c>
      <c r="H39" t="n">
        <v>335.731</v>
      </c>
      <c r="I39" t="n">
        <v>479.84</v>
      </c>
      <c r="J39" s="9">
        <f>K39-G39-H39-I39</f>
        <v/>
      </c>
      <c r="K39" t="n">
        <v>1931.398</v>
      </c>
      <c r="L39" t="n">
        <v>687.622</v>
      </c>
      <c r="M39" t="n">
        <v>546.3819999999999</v>
      </c>
      <c r="N39" t="n">
        <v>574.546</v>
      </c>
      <c r="O39" s="9">
        <f>P39-L39-M39-N39</f>
        <v/>
      </c>
      <c r="P39" t="n">
        <v>2520.311</v>
      </c>
      <c r="Q39" t="n">
        <v>773.141</v>
      </c>
      <c r="R39" t="n">
        <v>525.654</v>
      </c>
      <c r="S39" t="n">
        <v>621.4640000000001</v>
      </c>
      <c r="T39" s="9">
        <f>U39-Q39-R39-S39</f>
        <v/>
      </c>
      <c r="U39" t="n">
        <v>2705.661</v>
      </c>
      <c r="V39" t="n">
        <v>789.301</v>
      </c>
      <c r="W39" t="n">
        <v>433.486</v>
      </c>
      <c r="X39" t="n">
        <v>478.331</v>
      </c>
      <c r="Y39" s="9">
        <f>Z39-V39-W39-X39</f>
        <v/>
      </c>
      <c r="Z39" t="n">
        <v>2524.941</v>
      </c>
    </row>
    <row r="40">
      <c r="A40" s="1" t="inlineStr">
        <is>
          <t>รายได้อื่น</t>
        </is>
      </c>
      <c r="B40" t="n">
        <v>0.201</v>
      </c>
      <c r="C40" t="n">
        <v>0.022</v>
      </c>
      <c r="D40" t="n">
        <v>0.062</v>
      </c>
      <c r="E40" s="9">
        <f>F40-B40-C40-D40</f>
        <v/>
      </c>
      <c r="F40" t="n">
        <v>0.369</v>
      </c>
      <c r="G40" t="n">
        <v>1.705</v>
      </c>
      <c r="H40" t="n">
        <v>0.296</v>
      </c>
      <c r="I40" t="n">
        <v>0.333</v>
      </c>
      <c r="J40" s="9">
        <f>K40-G40-H40-I40</f>
        <v/>
      </c>
      <c r="K40" t="n">
        <v>3.627</v>
      </c>
      <c r="L40" t="n">
        <v>1.069</v>
      </c>
      <c r="M40" t="n">
        <v>0.71</v>
      </c>
      <c r="N40" t="n">
        <v>0.604</v>
      </c>
      <c r="O40" s="9">
        <f>P40-L40-M40-N40</f>
        <v/>
      </c>
      <c r="P40" t="n">
        <v>3.488</v>
      </c>
      <c r="Q40" t="n">
        <v>1.18</v>
      </c>
      <c r="R40" t="n">
        <v>0.747</v>
      </c>
      <c r="S40" t="n">
        <v>0.763</v>
      </c>
      <c r="T40" s="9">
        <f>U40-Q40-R40-S40</f>
        <v/>
      </c>
      <c r="U40" t="n">
        <v>3.875</v>
      </c>
      <c r="V40" t="n">
        <v>0.857</v>
      </c>
      <c r="W40" t="n">
        <v>1.455</v>
      </c>
      <c r="X40" t="n">
        <v>0.607</v>
      </c>
      <c r="Y40" s="9">
        <f>Z40-V40-W40-X40</f>
        <v/>
      </c>
      <c r="Z40" t="n">
        <v>2.68</v>
      </c>
    </row>
    <row r="41">
      <c r="A41" s="1" t="inlineStr">
        <is>
          <t>ต้นทุนขาย (จริง)</t>
        </is>
      </c>
      <c r="B41" t="n">
        <v>217.638</v>
      </c>
      <c r="C41" t="n">
        <v>183.835</v>
      </c>
      <c r="D41" t="n">
        <v>176.104</v>
      </c>
      <c r="E41" s="9">
        <f>F41-B41-C41-D41</f>
        <v/>
      </c>
      <c r="F41" t="n">
        <v>795.12</v>
      </c>
      <c r="G41" t="n">
        <v>235.337</v>
      </c>
      <c r="H41" t="n">
        <v>264.835</v>
      </c>
      <c r="I41" t="n">
        <v>321.314</v>
      </c>
      <c r="J41" s="9">
        <f>K41-G41-H41-I41</f>
        <v/>
      </c>
      <c r="K41" t="n">
        <v>1193.08</v>
      </c>
      <c r="L41" t="n">
        <v>323.953</v>
      </c>
      <c r="M41" t="n">
        <v>311.278</v>
      </c>
      <c r="N41" t="n">
        <v>354.249</v>
      </c>
      <c r="O41" s="9">
        <f>P41-L41-M41-N41</f>
        <v/>
      </c>
      <c r="P41" t="n">
        <v>1355.378</v>
      </c>
      <c r="Q41" t="n">
        <v>348.903</v>
      </c>
      <c r="R41" t="n">
        <v>307.95</v>
      </c>
      <c r="S41" t="n">
        <v>368.041</v>
      </c>
      <c r="T41" s="9">
        <f>U41-Q41-R41-S41</f>
        <v/>
      </c>
      <c r="U41" t="n">
        <v>1393.389</v>
      </c>
      <c r="V41" t="n">
        <v>332.62</v>
      </c>
      <c r="W41" t="n">
        <v>280.816</v>
      </c>
      <c r="X41" t="n">
        <v>331.191</v>
      </c>
      <c r="Y41" s="9">
        <f>Z41-V41-W41-X41</f>
        <v/>
      </c>
      <c r="Z41" t="n">
        <v>1332.588</v>
      </c>
    </row>
    <row r="42">
      <c r="A42" s="1" t="inlineStr">
        <is>
          <t>กำไรสุทธิ (รวม)</t>
        </is>
      </c>
      <c r="B42" t="n">
        <v>-155.476</v>
      </c>
      <c r="C42" t="n">
        <v>-167.678</v>
      </c>
      <c r="D42" t="n">
        <v>-174.236</v>
      </c>
      <c r="E42" s="9">
        <f>F42-B42-C42-D42</f>
        <v/>
      </c>
      <c r="F42" t="n">
        <v>-620.641</v>
      </c>
      <c r="G42" t="n">
        <v>-112.251</v>
      </c>
      <c r="H42" t="n">
        <v>-58.2</v>
      </c>
      <c r="I42" t="n">
        <v>-8.022</v>
      </c>
      <c r="J42" s="9">
        <f>K42-G42-H42-I42</f>
        <v/>
      </c>
      <c r="K42" t="n">
        <v>88.208</v>
      </c>
      <c r="L42" t="n">
        <v>127.765</v>
      </c>
      <c r="M42" t="n">
        <v>34.223</v>
      </c>
      <c r="N42" t="n">
        <v>16.205</v>
      </c>
      <c r="O42" s="9">
        <f>P42-L42-M42-N42</f>
        <v/>
      </c>
      <c r="P42" t="n">
        <v>277.444</v>
      </c>
      <c r="Q42" t="n">
        <v>163.092</v>
      </c>
      <c r="R42" t="n">
        <v>35.838</v>
      </c>
      <c r="S42" t="n">
        <v>57.065</v>
      </c>
      <c r="T42" s="9">
        <f>U42-Q42-R42-S42</f>
        <v/>
      </c>
      <c r="U42" t="n">
        <v>420.022</v>
      </c>
      <c r="V42" t="n">
        <v>193.859</v>
      </c>
      <c r="W42" t="n">
        <v>-21.696</v>
      </c>
      <c r="X42" t="n">
        <v>-26.018</v>
      </c>
      <c r="Y42" s="9">
        <f>Z42-V42-W42-X42</f>
        <v/>
      </c>
      <c r="Z42" t="n">
        <v>313.694</v>
      </c>
    </row>
    <row r="43">
      <c r="A43" s="1" t="inlineStr">
        <is>
          <t>กำไรสุทธิ (ส่วนแม่)</t>
        </is>
      </c>
      <c r="B43" t="n">
        <v>-155.476</v>
      </c>
      <c r="C43" t="n">
        <v>-167.678</v>
      </c>
      <c r="D43" t="n">
        <v>-174.236</v>
      </c>
      <c r="E43" s="9">
        <f>F43-B43-C43-D43</f>
        <v/>
      </c>
      <c r="F43" t="n">
        <v>-620.641</v>
      </c>
      <c r="G43" t="n">
        <v>-112.251</v>
      </c>
      <c r="H43" t="n">
        <v>-58.2</v>
      </c>
      <c r="I43" t="n">
        <v>-8.022</v>
      </c>
      <c r="J43" s="9">
        <f>K43-G43-H43-I43</f>
        <v/>
      </c>
      <c r="K43" t="n">
        <v>88.208</v>
      </c>
      <c r="L43" t="n">
        <v>127.765</v>
      </c>
      <c r="M43" t="n">
        <v>34.223</v>
      </c>
      <c r="N43" t="n">
        <v>16.205</v>
      </c>
      <c r="O43" s="9">
        <f>P43-L43-M43-N43</f>
        <v/>
      </c>
      <c r="P43" t="n">
        <v>277.444</v>
      </c>
      <c r="Q43" t="n">
        <v>163.092</v>
      </c>
      <c r="R43" t="n">
        <v>35.838</v>
      </c>
      <c r="S43" t="n">
        <v>57.065</v>
      </c>
      <c r="T43" s="9">
        <f>U43-Q43-R43-S43</f>
        <v/>
      </c>
      <c r="U43" t="n">
        <v>420.022</v>
      </c>
      <c r="V43" t="n">
        <v>193.859</v>
      </c>
      <c r="W43" t="n">
        <v>-21.696</v>
      </c>
      <c r="X43" t="n">
        <v>-26.018</v>
      </c>
      <c r="Y43" s="9">
        <f>Z43-V43-W43-X43</f>
        <v/>
      </c>
      <c r="Z43" t="n">
        <v>313.694</v>
      </c>
    </row>
    <row r="44">
      <c r="A44" s="7" t="inlineStr">
        <is>
          <t>■ SHANG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1" t="inlineStr">
        <is>
          <t>รายได้รวม</t>
        </is>
      </c>
      <c r="B45" t="n">
        <v>77.03700000000001</v>
      </c>
      <c r="C45" t="n">
        <v>65.75700000000001</v>
      </c>
      <c r="D45" t="n">
        <v>72.79600000000001</v>
      </c>
      <c r="E45" s="9">
        <f>F45-B45-C45-D45</f>
        <v/>
      </c>
      <c r="F45" t="n">
        <v>355.874</v>
      </c>
      <c r="G45" t="n">
        <v>126.409</v>
      </c>
      <c r="H45" t="n">
        <v>199.551</v>
      </c>
      <c r="I45" t="n">
        <v>364.513</v>
      </c>
      <c r="J45" s="9">
        <f>K45-G45-H45-I45</f>
        <v/>
      </c>
      <c r="K45" t="n">
        <v>1201.012</v>
      </c>
      <c r="L45" t="n">
        <v>601.976</v>
      </c>
      <c r="M45" t="n">
        <v>448.375</v>
      </c>
      <c r="N45" t="n">
        <v>508.461</v>
      </c>
      <c r="O45" s="9">
        <f>P45-L45-M45-N45</f>
        <v/>
      </c>
      <c r="P45" t="n">
        <v>2186.19</v>
      </c>
      <c r="Q45" t="n">
        <v>701.4400000000001</v>
      </c>
      <c r="R45" t="n">
        <v>471.877</v>
      </c>
      <c r="S45" t="n">
        <v>510.709</v>
      </c>
      <c r="T45" s="9">
        <f>U45-Q45-R45-S45</f>
        <v/>
      </c>
      <c r="U45" t="n">
        <v>2430.166</v>
      </c>
      <c r="V45" t="n">
        <v>659.954</v>
      </c>
      <c r="W45" t="n">
        <v>401.638</v>
      </c>
      <c r="X45" t="n">
        <v>467.158</v>
      </c>
      <c r="Y45" s="9">
        <f>Z45-V45-W45-X45</f>
        <v/>
      </c>
      <c r="Z45" t="n">
        <v>2153.389</v>
      </c>
    </row>
    <row r="46">
      <c r="A46" s="1" t="inlineStr">
        <is>
          <t>รายได้อื่น</t>
        </is>
      </c>
      <c r="B46" t="n">
        <v>2.074</v>
      </c>
      <c r="C46" t="n">
        <v>28.913</v>
      </c>
      <c r="D46" t="n">
        <v>20.554</v>
      </c>
      <c r="E46" s="9">
        <f>F46-B46-C46-D46</f>
        <v/>
      </c>
      <c r="F46" t="n">
        <v>21.366</v>
      </c>
      <c r="G46" t="n">
        <v>3.269</v>
      </c>
      <c r="H46" t="n">
        <v>39.261</v>
      </c>
      <c r="I46" t="n">
        <v>44.847</v>
      </c>
      <c r="J46" s="9">
        <f>K46-G46-H46-I46</f>
        <v/>
      </c>
      <c r="K46" t="n">
        <v>25.114</v>
      </c>
      <c r="L46" t="n">
        <v>4.414</v>
      </c>
      <c r="M46" t="n">
        <v>26.406</v>
      </c>
      <c r="N46" t="n">
        <v>31.478</v>
      </c>
      <c r="O46" s="9">
        <f>P46-L46-M46-N46</f>
        <v/>
      </c>
      <c r="P46" t="n">
        <v>29.154</v>
      </c>
      <c r="Q46" t="n">
        <v>14.6</v>
      </c>
      <c r="R46" t="n">
        <v>55.858</v>
      </c>
      <c r="S46" t="n">
        <v>43.349</v>
      </c>
      <c r="T46" s="9">
        <f>U46-Q46-R46-S46</f>
        <v/>
      </c>
      <c r="U46" t="n">
        <v>95.286</v>
      </c>
      <c r="V46" t="n">
        <v>4.999</v>
      </c>
      <c r="W46" t="n">
        <v>20.425</v>
      </c>
      <c r="X46" t="n">
        <v>55.466</v>
      </c>
      <c r="Y46" s="9">
        <f>Z46-V46-W46-X46</f>
        <v/>
      </c>
      <c r="Z46" t="n">
        <v>20.237</v>
      </c>
    </row>
    <row r="47">
      <c r="A47" s="1" t="inlineStr">
        <is>
          <t>ต้นทุนขาย (จริง)</t>
        </is>
      </c>
      <c r="B47" t="n">
        <v>59.991</v>
      </c>
      <c r="C47" t="n">
        <v>53.13</v>
      </c>
      <c r="D47" t="n">
        <v>57.563</v>
      </c>
      <c r="E47" s="9">
        <f>F47-B47-C47-D47</f>
        <v/>
      </c>
      <c r="F47" t="n">
        <v>251.839</v>
      </c>
      <c r="G47" t="n">
        <v>67.55200000000001</v>
      </c>
      <c r="H47" t="n">
        <v>82.545</v>
      </c>
      <c r="I47" t="n">
        <v>128.473</v>
      </c>
      <c r="J47" s="9">
        <f>K47-G47-H47-I47</f>
        <v/>
      </c>
      <c r="K47" t="n">
        <v>448.111</v>
      </c>
      <c r="L47" t="n">
        <v>164.22</v>
      </c>
      <c r="M47" t="n">
        <v>140.662</v>
      </c>
      <c r="N47" t="n">
        <v>176.621</v>
      </c>
      <c r="O47" s="9">
        <f>P47-L47-M47-N47</f>
        <v/>
      </c>
      <c r="P47" t="n">
        <v>676.828</v>
      </c>
      <c r="Q47" t="n">
        <v>191.092</v>
      </c>
      <c r="R47" t="n">
        <v>151.669</v>
      </c>
      <c r="S47" t="n">
        <v>175.902</v>
      </c>
      <c r="T47" s="9">
        <f>U47-Q47-R47-S47</f>
        <v/>
      </c>
      <c r="U47" t="n">
        <v>734.1660000000001</v>
      </c>
      <c r="V47" t="n">
        <v>188.579</v>
      </c>
      <c r="W47" t="n">
        <v>145.967</v>
      </c>
      <c r="X47" t="n">
        <v>166.785</v>
      </c>
      <c r="Y47" s="9">
        <f>Z47-V47-W47-X47</f>
        <v/>
      </c>
      <c r="Z47" t="n">
        <v>695.217</v>
      </c>
    </row>
    <row r="48">
      <c r="A48" s="1" t="inlineStr">
        <is>
          <t>กำไรสุทธิ (รวม)</t>
        </is>
      </c>
      <c r="B48" t="n">
        <v>-84.02500000000001</v>
      </c>
      <c r="C48" t="n">
        <v>-107.398</v>
      </c>
      <c r="D48" t="n">
        <v>-113.631</v>
      </c>
      <c r="E48" s="9">
        <f>F48-B48-C48-D48</f>
        <v/>
      </c>
      <c r="F48" t="n">
        <v>-486.364</v>
      </c>
      <c r="G48" t="n">
        <v>-84.61799999999999</v>
      </c>
      <c r="H48" t="n">
        <v>-43.38</v>
      </c>
      <c r="I48" t="n">
        <v>62.364</v>
      </c>
      <c r="J48" s="9">
        <f>K48-G48-H48-I48</f>
        <v/>
      </c>
      <c r="K48" t="n">
        <v>-73.89400000000001</v>
      </c>
      <c r="L48" t="n">
        <v>117.248</v>
      </c>
      <c r="M48" t="n">
        <v>102.171</v>
      </c>
      <c r="N48" t="n">
        <v>66.246</v>
      </c>
      <c r="O48" s="9">
        <f>P48-L48-M48-N48</f>
        <v/>
      </c>
      <c r="P48" t="n">
        <v>139.518</v>
      </c>
      <c r="Q48" t="n">
        <v>223.647</v>
      </c>
      <c r="R48" t="n">
        <v>90.274</v>
      </c>
      <c r="S48" t="n">
        <v>34.719</v>
      </c>
      <c r="T48" s="9">
        <f>U48-Q48-R48-S48</f>
        <v/>
      </c>
      <c r="U48" t="n">
        <v>370.976</v>
      </c>
      <c r="V48" t="n">
        <v>159.821</v>
      </c>
      <c r="W48" t="n">
        <v>-40.895</v>
      </c>
      <c r="X48" t="n">
        <v>87.081</v>
      </c>
      <c r="Y48" s="9">
        <f>Z48-V48-W48-X48</f>
        <v/>
      </c>
      <c r="Z48" t="n">
        <v>240.904</v>
      </c>
    </row>
    <row r="49">
      <c r="A49" s="1" t="inlineStr">
        <is>
          <t>กำไรสุทธิ (ส่วนแม่)</t>
        </is>
      </c>
      <c r="B49" t="n">
        <v>-84.01900000000001</v>
      </c>
      <c r="C49" t="n">
        <v>-113.427</v>
      </c>
      <c r="D49" t="n">
        <v>-114.035</v>
      </c>
      <c r="E49" s="9">
        <f>F49-B49-C49-D49</f>
        <v/>
      </c>
      <c r="F49" t="n">
        <v>-492.81</v>
      </c>
      <c r="G49" t="n">
        <v>-84.631</v>
      </c>
      <c r="H49" t="n">
        <v>-44.856</v>
      </c>
      <c r="I49" t="n">
        <v>60.434</v>
      </c>
      <c r="J49" s="9">
        <f>K49-G49-H49-I49</f>
        <v/>
      </c>
      <c r="K49" t="n">
        <v>-80.191</v>
      </c>
      <c r="L49" t="n">
        <v>116.072</v>
      </c>
      <c r="M49" t="n">
        <v>101.987</v>
      </c>
      <c r="N49" t="n">
        <v>66.148</v>
      </c>
      <c r="O49" s="9">
        <f>P49-L49-M49-N49</f>
        <v/>
      </c>
      <c r="P49" t="n">
        <v>137.986</v>
      </c>
      <c r="Q49" t="n">
        <v>223.643</v>
      </c>
      <c r="R49" t="n">
        <v>90.267</v>
      </c>
      <c r="S49" t="n">
        <v>34.715</v>
      </c>
      <c r="T49" s="9">
        <f>U49-Q49-R49-S49</f>
        <v/>
      </c>
      <c r="U49" t="n">
        <v>370.956</v>
      </c>
      <c r="V49" t="n">
        <v>159.817</v>
      </c>
      <c r="W49" t="n">
        <v>-40.892</v>
      </c>
      <c r="X49" t="n">
        <v>87.09</v>
      </c>
      <c r="Y49" s="9">
        <f>Z49-V49-W49-X49</f>
        <v/>
      </c>
      <c r="Z49" t="n">
        <v>240.912</v>
      </c>
    </row>
    <row r="50">
      <c r="A50" s="7" t="inlineStr">
        <is>
          <t>■ SHR</t>
        </is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1" t="inlineStr">
        <is>
          <t>รายได้รวม</t>
        </is>
      </c>
      <c r="B51" t="n">
        <v>692.241</v>
      </c>
      <c r="C51" t="n">
        <v>837.966</v>
      </c>
      <c r="D51" t="n">
        <v>1433.64</v>
      </c>
      <c r="E51" s="9">
        <f>F51-B51-C51-D51</f>
        <v/>
      </c>
      <c r="F51" t="n">
        <v>4689.55</v>
      </c>
      <c r="G51" t="n">
        <v>1700.05</v>
      </c>
      <c r="H51" t="n">
        <v>2094.021</v>
      </c>
      <c r="I51" t="n">
        <v>2466.344</v>
      </c>
      <c r="J51" s="9">
        <f>K51-G51-H51-I51</f>
        <v/>
      </c>
      <c r="K51" t="n">
        <v>8824.288</v>
      </c>
      <c r="L51" t="n">
        <v>2576.759</v>
      </c>
      <c r="M51" t="n">
        <v>2318.612</v>
      </c>
      <c r="N51" t="n">
        <v>2495.846</v>
      </c>
      <c r="O51" s="9">
        <f>P51-L51-M51-N51</f>
        <v/>
      </c>
      <c r="P51" t="n">
        <v>10096.755</v>
      </c>
      <c r="Q51" t="n">
        <v>2781.537</v>
      </c>
      <c r="R51" t="n">
        <v>2527.774</v>
      </c>
      <c r="S51" t="n">
        <v>2538.71</v>
      </c>
      <c r="T51" s="9">
        <f>U51-Q51-R51-S51</f>
        <v/>
      </c>
      <c r="U51" t="n">
        <v>10558.246</v>
      </c>
      <c r="V51" t="n">
        <v>2649.224</v>
      </c>
      <c r="W51" t="n">
        <v>2431.997</v>
      </c>
      <c r="X51" t="n">
        <v>2604.449</v>
      </c>
      <c r="Y51" s="9">
        <f>Z51-V51-W51-X51</f>
        <v/>
      </c>
      <c r="Z51" t="n">
        <v>10411.173</v>
      </c>
    </row>
    <row r="52">
      <c r="A52" s="1" t="inlineStr">
        <is>
          <t>รายได้อื่น</t>
        </is>
      </c>
      <c r="B52" t="n">
        <v>148.477</v>
      </c>
      <c r="C52" t="n">
        <v>34.821</v>
      </c>
      <c r="D52" t="n">
        <v>12.028</v>
      </c>
      <c r="E52" s="9">
        <f>F52-B52-C52-D52</f>
        <v/>
      </c>
      <c r="F52" t="n">
        <v>177.096</v>
      </c>
      <c r="G52" t="n">
        <v>10.428</v>
      </c>
      <c r="H52" t="n">
        <v>22.688</v>
      </c>
      <c r="I52" t="n">
        <v>104.247</v>
      </c>
      <c r="J52" s="9">
        <f>K52-G52-H52-I52</f>
        <v/>
      </c>
      <c r="K52" t="n">
        <v>131.735</v>
      </c>
      <c r="L52" t="n">
        <v>32.486</v>
      </c>
      <c r="M52" t="n">
        <v>41.534</v>
      </c>
      <c r="N52" t="n">
        <v>95.017</v>
      </c>
      <c r="O52" s="9">
        <f>P52-L52-M52-N52</f>
        <v/>
      </c>
      <c r="P52" t="n">
        <v>395.675</v>
      </c>
      <c r="Q52" t="n">
        <v>38.763</v>
      </c>
      <c r="R52" t="n">
        <v>58.683</v>
      </c>
      <c r="S52" t="n">
        <v>5.019</v>
      </c>
      <c r="T52" s="9">
        <f>U52-Q52-R52-S52</f>
        <v/>
      </c>
      <c r="U52" t="n">
        <v>206</v>
      </c>
      <c r="V52" t="n">
        <v>27.131</v>
      </c>
      <c r="W52" t="n">
        <v>30.904</v>
      </c>
      <c r="X52" t="n">
        <v>26.163</v>
      </c>
      <c r="Y52" s="9">
        <f>Z52-V52-W52-X52</f>
        <v/>
      </c>
      <c r="Z52" t="n">
        <v>111.837</v>
      </c>
    </row>
    <row r="53">
      <c r="A53" s="1" t="inlineStr">
        <is>
          <t>ต้นทุนขาย (จริง)</t>
        </is>
      </c>
      <c r="B53" t="n">
        <v>566.057</v>
      </c>
      <c r="C53" t="n">
        <v>785.5359999999999</v>
      </c>
      <c r="D53" t="n">
        <v>1018.67</v>
      </c>
      <c r="E53" s="9">
        <f>F53-B53-C53-D53</f>
        <v/>
      </c>
      <c r="F53" t="n">
        <v>3595.957</v>
      </c>
      <c r="G53" t="n">
        <v>1258.798</v>
      </c>
      <c r="H53" t="n">
        <v>1427.143</v>
      </c>
      <c r="I53" t="n">
        <v>1528.194</v>
      </c>
      <c r="J53" s="9">
        <f>K53-G53-H53-I53</f>
        <v/>
      </c>
      <c r="K53" t="n">
        <v>5807.443</v>
      </c>
      <c r="L53" t="n">
        <v>1604.888</v>
      </c>
      <c r="M53" t="n">
        <v>1598.95</v>
      </c>
      <c r="N53" t="n">
        <v>1548.071</v>
      </c>
      <c r="O53" s="9">
        <f>P53-L53-M53-N53</f>
        <v/>
      </c>
      <c r="P53" t="n">
        <v>6326.417</v>
      </c>
      <c r="Q53" t="n">
        <v>1633.455</v>
      </c>
      <c r="R53" t="n">
        <v>1657.384</v>
      </c>
      <c r="S53" t="n">
        <v>1565.109</v>
      </c>
      <c r="T53" s="9">
        <f>U53-Q53-R53-S53</f>
        <v/>
      </c>
      <c r="U53" t="n">
        <v>6450.213</v>
      </c>
      <c r="V53" t="n">
        <v>1582.956</v>
      </c>
      <c r="W53" t="n">
        <v>1528.045</v>
      </c>
      <c r="X53" t="n">
        <v>1544.681</v>
      </c>
      <c r="Y53" s="9">
        <f>Z53-V53-W53-X53</f>
        <v/>
      </c>
      <c r="Z53" t="n">
        <v>6279.64</v>
      </c>
    </row>
    <row r="54">
      <c r="A54" s="1" t="inlineStr">
        <is>
          <t>กำไรสุทธิ (รวม)</t>
        </is>
      </c>
      <c r="B54" t="n">
        <v>-310.898</v>
      </c>
      <c r="C54" t="n">
        <v>-571.4349999999999</v>
      </c>
      <c r="D54" t="n">
        <v>-281.861</v>
      </c>
      <c r="E54" s="9">
        <f>F54-B54-C54-D54</f>
        <v/>
      </c>
      <c r="F54" t="n">
        <v>-1234.222</v>
      </c>
      <c r="G54" t="n">
        <v>-204.086</v>
      </c>
      <c r="H54" t="n">
        <v>-96.879</v>
      </c>
      <c r="I54" t="n">
        <v>207.484</v>
      </c>
      <c r="J54" s="9">
        <f>K54-G54-H54-I54</f>
        <v/>
      </c>
      <c r="K54" t="n">
        <v>14.382</v>
      </c>
      <c r="L54" t="n">
        <v>124.881</v>
      </c>
      <c r="M54" t="n">
        <v>3.004</v>
      </c>
      <c r="N54" t="n">
        <v>15.01</v>
      </c>
      <c r="O54" s="9">
        <f>P54-L54-M54-N54</f>
        <v/>
      </c>
      <c r="P54" t="n">
        <v>86.407</v>
      </c>
      <c r="Q54" t="n">
        <v>111.624</v>
      </c>
      <c r="R54" t="n">
        <v>-71.592</v>
      </c>
      <c r="S54" t="n">
        <v>-53.396</v>
      </c>
      <c r="T54" s="9">
        <f>U54-Q54-R54-S54</f>
        <v/>
      </c>
      <c r="U54" t="n">
        <v>133.934</v>
      </c>
      <c r="V54" t="n">
        <v>175.544</v>
      </c>
      <c r="W54" t="n">
        <v>24.22</v>
      </c>
      <c r="X54" t="n">
        <v>128.587</v>
      </c>
      <c r="Y54" s="9">
        <f>Z54-V54-W54-X54</f>
        <v/>
      </c>
      <c r="Z54" t="n">
        <v>-1586.048</v>
      </c>
    </row>
    <row r="55">
      <c r="A55" s="1" t="inlineStr">
        <is>
          <t>กำไรสุทธิ (ส่วนแม่)</t>
        </is>
      </c>
      <c r="B55" t="n">
        <v>-310.898</v>
      </c>
      <c r="C55" t="n">
        <v>-571.4349999999999</v>
      </c>
      <c r="D55" t="n">
        <v>-281.861</v>
      </c>
      <c r="E55" s="9">
        <f>F55-B55-C55-D55</f>
        <v/>
      </c>
      <c r="F55" t="n">
        <v>-1234.222</v>
      </c>
      <c r="G55" t="n">
        <v>-204.086</v>
      </c>
      <c r="H55" t="n">
        <v>-96.879</v>
      </c>
      <c r="I55" t="n">
        <v>207.484</v>
      </c>
      <c r="J55" s="9">
        <f>K55-G55-H55-I55</f>
        <v/>
      </c>
      <c r="K55" t="n">
        <v>14.382</v>
      </c>
      <c r="L55" t="n">
        <v>124.881</v>
      </c>
      <c r="M55" t="n">
        <v>-117.222</v>
      </c>
      <c r="N55" t="n">
        <v>15.01</v>
      </c>
      <c r="O55" s="9">
        <f>P55-L55-M55-N55</f>
        <v/>
      </c>
      <c r="P55" t="n">
        <v>86.407</v>
      </c>
      <c r="Q55" t="n">
        <v>111.624</v>
      </c>
      <c r="R55" t="n">
        <v>-71.592</v>
      </c>
      <c r="S55" t="n">
        <v>-53.396</v>
      </c>
      <c r="T55" s="9">
        <f>U55-Q55-R55-S55</f>
        <v/>
      </c>
      <c r="U55" t="n">
        <v>133.934</v>
      </c>
      <c r="V55" t="n">
        <v>175.544</v>
      </c>
      <c r="W55" t="n">
        <v>24.22</v>
      </c>
      <c r="X55" t="n">
        <v>128.587</v>
      </c>
      <c r="Y55" s="9">
        <f>Z55-V55-W55-X55</f>
        <v/>
      </c>
      <c r="Z55" t="n">
        <v>-1586.048</v>
      </c>
    </row>
    <row r="56">
      <c r="A56" s="7" t="inlineStr">
        <is>
          <t>■ VRANDA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1" t="inlineStr">
        <is>
          <t>รายได้รวม</t>
        </is>
      </c>
      <c r="B57" t="n">
        <v>356.129</v>
      </c>
      <c r="C57" t="n">
        <v>314.481</v>
      </c>
      <c r="D57" t="n">
        <v>239.763</v>
      </c>
      <c r="E57" s="9">
        <f>F57-B57-C57-D57</f>
        <v/>
      </c>
      <c r="F57" t="n">
        <v>1307.472</v>
      </c>
      <c r="G57" t="n">
        <v>306.885</v>
      </c>
      <c r="H57" t="n">
        <v>323.864</v>
      </c>
      <c r="I57" t="n">
        <v>329.927</v>
      </c>
      <c r="J57" s="9">
        <f>K57-G57-H57-I57</f>
        <v/>
      </c>
      <c r="K57" t="n">
        <v>1365.82</v>
      </c>
      <c r="L57" t="n">
        <v>382.669</v>
      </c>
      <c r="M57" t="n">
        <v>315.369</v>
      </c>
      <c r="N57" t="n">
        <v>328.523</v>
      </c>
      <c r="O57" s="9">
        <f>P57-L57-M57-N57</f>
        <v/>
      </c>
      <c r="P57" t="n">
        <v>1402.468</v>
      </c>
      <c r="Q57" t="n">
        <v>420.897</v>
      </c>
      <c r="R57" t="n">
        <v>348.916</v>
      </c>
      <c r="S57" t="n">
        <v>389.591</v>
      </c>
      <c r="T57" s="9">
        <f>U57-Q57-R57-S57</f>
        <v/>
      </c>
      <c r="U57" t="n">
        <v>1537.433</v>
      </c>
      <c r="V57" t="n">
        <v>427.929</v>
      </c>
      <c r="W57" t="n">
        <v>314.521</v>
      </c>
      <c r="X57" t="n">
        <v>362.011</v>
      </c>
      <c r="Y57" s="9">
        <f>Z57-V57-W57-X57</f>
        <v/>
      </c>
      <c r="Z57" t="n">
        <v>1577.181</v>
      </c>
    </row>
    <row r="58">
      <c r="A58" s="1" t="inlineStr">
        <is>
          <t>รายได้อื่น</t>
        </is>
      </c>
      <c r="B58" t="n">
        <v>17.274</v>
      </c>
      <c r="C58" t="n">
        <v>8.550000000000001</v>
      </c>
      <c r="D58" t="n">
        <v>5.76</v>
      </c>
      <c r="E58" s="9">
        <f>F58-B58-C58-D58</f>
        <v/>
      </c>
      <c r="F58" t="n">
        <v>37.031</v>
      </c>
      <c r="G58" t="n">
        <v>15.989</v>
      </c>
      <c r="H58" t="n">
        <v>11.119</v>
      </c>
      <c r="I58" t="n">
        <v>7.932</v>
      </c>
      <c r="J58" s="9">
        <f>K58-G58-H58-I58</f>
        <v/>
      </c>
      <c r="K58" t="n">
        <v>44.869</v>
      </c>
      <c r="L58" t="n">
        <v>9.34</v>
      </c>
      <c r="M58" t="n">
        <v>8.962999999999999</v>
      </c>
      <c r="N58" t="n">
        <v>6.424</v>
      </c>
      <c r="O58" s="9">
        <f>P58-L58-M58-N58</f>
        <v/>
      </c>
      <c r="P58" t="n">
        <v>31.828</v>
      </c>
      <c r="Q58" t="n">
        <v>12.142</v>
      </c>
      <c r="R58" t="n">
        <v>6.223</v>
      </c>
      <c r="S58" t="n">
        <v>6.399</v>
      </c>
      <c r="T58" s="9">
        <f>U58-Q58-R58-S58</f>
        <v/>
      </c>
      <c r="U58" t="n">
        <v>35.426</v>
      </c>
      <c r="V58" t="n">
        <v>15.045</v>
      </c>
      <c r="W58" t="n">
        <v>9.314</v>
      </c>
      <c r="X58" t="n">
        <v>24.719</v>
      </c>
      <c r="Y58" s="9">
        <f>Z58-V58-W58-X58</f>
        <v/>
      </c>
      <c r="Z58" t="n">
        <v>46.964</v>
      </c>
    </row>
    <row r="59">
      <c r="A59" s="1" t="inlineStr">
        <is>
          <t>ต้นทุนขาย (จริง)</t>
        </is>
      </c>
      <c r="B59" t="n">
        <v>111.345</v>
      </c>
      <c r="C59" t="n">
        <v>89.117</v>
      </c>
      <c r="D59" t="n">
        <v>90.499</v>
      </c>
      <c r="E59" s="9">
        <f>F59-B59-C59-D59</f>
        <v/>
      </c>
      <c r="F59" t="n">
        <v>433.732</v>
      </c>
      <c r="G59" t="n">
        <v>130.674</v>
      </c>
      <c r="H59" t="n">
        <v>152.008</v>
      </c>
      <c r="I59" t="n">
        <v>166.305</v>
      </c>
      <c r="J59" s="9">
        <f>K59-G59-H59-I59</f>
        <v/>
      </c>
      <c r="K59" t="n">
        <v>639.546</v>
      </c>
      <c r="L59" t="n">
        <v>180.764</v>
      </c>
      <c r="M59" t="n">
        <v>175.78</v>
      </c>
      <c r="N59" t="n">
        <v>177.091</v>
      </c>
      <c r="O59" s="9">
        <f>P59-L59-M59-N59</f>
        <v/>
      </c>
      <c r="P59" t="n">
        <v>723.39</v>
      </c>
      <c r="Q59" t="n">
        <v>189.69</v>
      </c>
      <c r="R59" t="n">
        <v>174.55</v>
      </c>
      <c r="S59" t="n">
        <v>178.731</v>
      </c>
      <c r="T59" s="9">
        <f>U59-Q59-R59-S59</f>
        <v/>
      </c>
      <c r="U59" t="n">
        <v>739.745</v>
      </c>
      <c r="V59" t="n">
        <v>218.02</v>
      </c>
      <c r="W59" t="n">
        <v>199.239</v>
      </c>
      <c r="X59" t="n">
        <v>211.94</v>
      </c>
      <c r="Y59" s="9">
        <f>Z59-V59-W59-X59</f>
        <v/>
      </c>
      <c r="Z59" t="n">
        <v>866.224</v>
      </c>
    </row>
    <row r="60">
      <c r="A60" s="1" t="inlineStr">
        <is>
          <t>กำไรสุทธิ (รวม)</t>
        </is>
      </c>
      <c r="B60" t="n">
        <v>-34.673</v>
      </c>
      <c r="C60" t="n">
        <v>-35.359</v>
      </c>
      <c r="D60" t="n">
        <v>-49.808</v>
      </c>
      <c r="E60" s="9">
        <f>F60-B60-C60-D60</f>
        <v/>
      </c>
      <c r="F60" t="n">
        <v>-107.249</v>
      </c>
      <c r="G60" t="n">
        <v>-21.359</v>
      </c>
      <c r="H60" t="n">
        <v>1.719</v>
      </c>
      <c r="I60" t="n">
        <v>2.03</v>
      </c>
      <c r="J60" s="9">
        <f>K60-G60-H60-I60</f>
        <v/>
      </c>
      <c r="K60" t="n">
        <v>1.112</v>
      </c>
      <c r="L60" t="n">
        <v>7.072</v>
      </c>
      <c r="M60" t="n">
        <v>-14.771</v>
      </c>
      <c r="N60" t="n">
        <v>-20.352</v>
      </c>
      <c r="O60" s="9">
        <f>P60-L60-M60-N60</f>
        <v/>
      </c>
      <c r="P60" t="n">
        <v>-140.769</v>
      </c>
      <c r="Q60" t="n">
        <v>36.301</v>
      </c>
      <c r="R60" t="n">
        <v>0.667</v>
      </c>
      <c r="S60" t="n">
        <v>5.086</v>
      </c>
      <c r="T60" s="9">
        <f>U60-Q60-R60-S60</f>
        <v/>
      </c>
      <c r="U60" t="n">
        <v>51.188</v>
      </c>
      <c r="V60" t="n">
        <v>42.867</v>
      </c>
      <c r="W60" t="n">
        <v>11.881</v>
      </c>
      <c r="X60" t="n">
        <v>1.842</v>
      </c>
      <c r="Y60" s="9">
        <f>Z60-V60-W60-X60</f>
        <v/>
      </c>
      <c r="Z60" t="n">
        <v>100.784</v>
      </c>
    </row>
    <row r="61">
      <c r="A61" s="1" t="inlineStr">
        <is>
          <t>กำไรสุทธิ (ส่วนแม่)</t>
        </is>
      </c>
      <c r="B61" t="n">
        <v>-34.673</v>
      </c>
      <c r="C61" t="n">
        <v>-35.359</v>
      </c>
      <c r="D61" t="n">
        <v>-49.808</v>
      </c>
      <c r="E61" s="9">
        <f>F61-B61-C61-D61</f>
        <v/>
      </c>
      <c r="F61" t="n">
        <v>-107.249</v>
      </c>
      <c r="G61" t="n">
        <v>-21.359</v>
      </c>
      <c r="H61" t="n">
        <v>1.719</v>
      </c>
      <c r="I61" t="n">
        <v>2.03</v>
      </c>
      <c r="J61" s="9">
        <f>K61-G61-H61-I61</f>
        <v/>
      </c>
      <c r="K61" t="n">
        <v>1.112</v>
      </c>
      <c r="L61" t="n">
        <v>7.072</v>
      </c>
      <c r="M61" t="n">
        <v>-14.771</v>
      </c>
      <c r="N61" t="n">
        <v>-20.352</v>
      </c>
      <c r="O61" s="9">
        <f>P61-L61-M61-N61</f>
        <v/>
      </c>
      <c r="P61" t="n">
        <v>-140.769</v>
      </c>
      <c r="Q61" t="n">
        <v>36.301</v>
      </c>
      <c r="R61" t="n">
        <v>0.667</v>
      </c>
      <c r="S61" t="n">
        <v>5.086</v>
      </c>
      <c r="T61" s="9">
        <f>U61-Q61-R61-S61</f>
        <v/>
      </c>
      <c r="U61" t="n">
        <v>51.188</v>
      </c>
      <c r="V61" t="n">
        <v>42.867</v>
      </c>
      <c r="W61" t="n">
        <v>11.881</v>
      </c>
      <c r="X61" t="n">
        <v>1.842</v>
      </c>
      <c r="Y61" s="9">
        <f>Z61-V61-W61-X61</f>
        <v/>
      </c>
      <c r="Z61" t="n">
        <v>100.784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รายการ (ยอดคงเหลือ, ล้านบาท)</t>
        </is>
      </c>
      <c r="B1" s="6" t="inlineStr">
        <is>
          <t>31-Dec-2563</t>
        </is>
      </c>
      <c r="C1" s="6" t="inlineStr">
        <is>
          <t>31-Mar-2564</t>
        </is>
      </c>
      <c r="D1" s="6" t="inlineStr">
        <is>
          <t>30-Jun-2564</t>
        </is>
      </c>
      <c r="E1" s="6" t="inlineStr">
        <is>
          <t>30-Sep-2564</t>
        </is>
      </c>
      <c r="F1" s="6" t="inlineStr">
        <is>
          <t>31-Dec-2564</t>
        </is>
      </c>
      <c r="G1" s="6" t="inlineStr">
        <is>
          <t>31-Mar-2565</t>
        </is>
      </c>
      <c r="H1" s="6" t="inlineStr">
        <is>
          <t>30-Jun-2565</t>
        </is>
      </c>
      <c r="I1" s="6" t="inlineStr">
        <is>
          <t>30-Sep-2565</t>
        </is>
      </c>
      <c r="J1" s="6" t="inlineStr">
        <is>
          <t>31-Dec-2565</t>
        </is>
      </c>
      <c r="K1" s="6" t="inlineStr">
        <is>
          <t>31-Mar-2566</t>
        </is>
      </c>
      <c r="L1" s="6" t="inlineStr">
        <is>
          <t>30-Jun-2566</t>
        </is>
      </c>
      <c r="M1" s="6" t="inlineStr">
        <is>
          <t>30-Sep-2566</t>
        </is>
      </c>
      <c r="N1" s="6" t="inlineStr">
        <is>
          <t>31-Dec-2566</t>
        </is>
      </c>
      <c r="O1" s="6" t="inlineStr">
        <is>
          <t>31-Mar-2567</t>
        </is>
      </c>
      <c r="P1" s="6" t="inlineStr">
        <is>
          <t>30-Jun-2567</t>
        </is>
      </c>
      <c r="Q1" s="6" t="inlineStr">
        <is>
          <t>30-Sep-2567</t>
        </is>
      </c>
      <c r="R1" s="6" t="inlineStr">
        <is>
          <t>31-Dec-2567</t>
        </is>
      </c>
      <c r="S1" s="6" t="inlineStr">
        <is>
          <t>31-Mar-2568</t>
        </is>
      </c>
      <c r="T1" s="6" t="inlineStr">
        <is>
          <t>30-Jun-2568</t>
        </is>
      </c>
      <c r="U1" s="6" t="inlineStr">
        <is>
          <t>30-Sep-2568</t>
        </is>
      </c>
      <c r="V1" s="6" t="inlineStr">
        <is>
          <t>31-Dec-2568</t>
        </is>
      </c>
    </row>
    <row r="2">
      <c r="A2" s="7" t="inlineStr">
        <is>
          <t>■ ASIA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>
      <c r="A3" s="1" t="inlineStr">
        <is>
          <t>ลูกหนี้การค้า</t>
        </is>
      </c>
      <c r="B3" t="n">
        <v>136.25</v>
      </c>
      <c r="C3" t="n">
        <v>145.444</v>
      </c>
      <c r="D3" t="n">
        <v>139.641</v>
      </c>
      <c r="E3" t="n">
        <v>198.409</v>
      </c>
      <c r="F3" t="n">
        <v>134.447</v>
      </c>
      <c r="G3" t="n">
        <v>140.663</v>
      </c>
      <c r="H3" t="n">
        <v>142.238</v>
      </c>
      <c r="I3" t="n">
        <v>127.504</v>
      </c>
      <c r="J3" t="n">
        <v>137.68</v>
      </c>
      <c r="K3" t="n">
        <v>150.621</v>
      </c>
      <c r="L3" t="n">
        <v>143.885</v>
      </c>
      <c r="M3" t="n">
        <v>149.662</v>
      </c>
      <c r="N3" t="n">
        <v>122.044</v>
      </c>
      <c r="O3" t="n">
        <v>125.417</v>
      </c>
      <c r="P3" t="n">
        <v>115.971</v>
      </c>
      <c r="Q3" t="n">
        <v>105.384</v>
      </c>
      <c r="R3" t="n">
        <v>87.279</v>
      </c>
      <c r="S3" t="n">
        <v>83.364</v>
      </c>
      <c r="T3" t="n">
        <v>80.907</v>
      </c>
      <c r="U3" t="n">
        <v>89.843</v>
      </c>
      <c r="V3" t="n">
        <v>90.57299999999999</v>
      </c>
    </row>
    <row r="4">
      <c r="A4" s="1" t="inlineStr">
        <is>
          <t>สินค้าคงเหลือ</t>
        </is>
      </c>
      <c r="B4" t="n">
        <v>40.331</v>
      </c>
      <c r="C4" t="n">
        <v>39.374</v>
      </c>
      <c r="D4" t="n">
        <v>39.459</v>
      </c>
      <c r="E4" t="n">
        <v>39.702</v>
      </c>
      <c r="F4" t="n">
        <v>39.693</v>
      </c>
      <c r="G4" t="n">
        <v>39.429</v>
      </c>
      <c r="H4" t="n">
        <v>39.954</v>
      </c>
      <c r="I4" t="n">
        <v>39.43</v>
      </c>
      <c r="J4" t="n">
        <v>40.001</v>
      </c>
      <c r="K4" t="n">
        <v>40.924</v>
      </c>
      <c r="L4" t="n">
        <v>41.095</v>
      </c>
      <c r="M4" t="n">
        <v>42.135</v>
      </c>
      <c r="N4" t="n">
        <v>43.539</v>
      </c>
      <c r="O4" t="n">
        <v>43.141</v>
      </c>
      <c r="P4" t="n">
        <v>43.78</v>
      </c>
      <c r="Q4" t="n">
        <v>44.865</v>
      </c>
      <c r="R4" t="n">
        <v>46.247</v>
      </c>
      <c r="S4" t="n">
        <v>45.81</v>
      </c>
      <c r="T4" t="n">
        <v>45.767</v>
      </c>
      <c r="U4" t="n">
        <v>45.987</v>
      </c>
      <c r="V4" t="n">
        <v>46.002</v>
      </c>
    </row>
    <row r="5">
      <c r="A5" s="1" t="inlineStr">
        <is>
          <t>เจ้าหนี้การค้า</t>
        </is>
      </c>
      <c r="B5" t="n">
        <v>116.615</v>
      </c>
      <c r="C5" t="n">
        <v>103.557</v>
      </c>
      <c r="D5" t="n">
        <v>86.577</v>
      </c>
      <c r="E5" t="n">
        <v>92.384</v>
      </c>
      <c r="F5" t="n">
        <v>82.438</v>
      </c>
      <c r="G5" t="n">
        <v>82.773</v>
      </c>
      <c r="H5" t="n">
        <v>100.259</v>
      </c>
      <c r="I5" t="n">
        <v>109.055</v>
      </c>
      <c r="J5" t="n">
        <v>116.107</v>
      </c>
      <c r="K5" t="n">
        <v>125.439</v>
      </c>
      <c r="L5" t="n">
        <v>118.84</v>
      </c>
      <c r="M5" t="n">
        <v>118.148</v>
      </c>
      <c r="N5" t="n">
        <v>118.752</v>
      </c>
      <c r="O5" t="n">
        <v>123.558</v>
      </c>
      <c r="P5" t="n">
        <v>123.974</v>
      </c>
      <c r="Q5" t="n">
        <v>122.209</v>
      </c>
      <c r="R5" t="n">
        <v>140.797</v>
      </c>
      <c r="S5" t="n">
        <v>122.033</v>
      </c>
      <c r="T5" t="n">
        <v>118.6</v>
      </c>
      <c r="U5" t="n">
        <v>119.99</v>
      </c>
      <c r="V5" t="n">
        <v>150.322</v>
      </c>
    </row>
    <row r="6">
      <c r="A6" s="1" t="inlineStr">
        <is>
          <t>สินทรัพย์รวม</t>
        </is>
      </c>
      <c r="B6" t="n">
        <v>9569.273999999999</v>
      </c>
      <c r="C6" t="n">
        <v>9453.575999999999</v>
      </c>
      <c r="D6" t="n">
        <v>9433.053</v>
      </c>
      <c r="E6" t="n">
        <v>9416.727000000001</v>
      </c>
      <c r="F6" t="n">
        <v>10500.936</v>
      </c>
      <c r="G6" t="n">
        <v>10401.72</v>
      </c>
      <c r="H6" t="n">
        <v>10389.057</v>
      </c>
      <c r="I6" t="n">
        <v>10415.012</v>
      </c>
      <c r="J6" t="n">
        <v>10456.552</v>
      </c>
      <c r="K6" t="n">
        <v>10324.99</v>
      </c>
      <c r="L6" t="n">
        <v>10277.756</v>
      </c>
      <c r="M6" t="n">
        <v>10250.041</v>
      </c>
      <c r="N6" t="n">
        <v>10212.295</v>
      </c>
      <c r="O6" t="n">
        <v>10195.015</v>
      </c>
      <c r="P6" t="n">
        <v>10337.145</v>
      </c>
      <c r="Q6" t="n">
        <v>10147.093</v>
      </c>
      <c r="R6" t="n">
        <v>10140.751</v>
      </c>
      <c r="S6" t="n">
        <v>10218.289</v>
      </c>
      <c r="T6" t="n">
        <v>10013.388</v>
      </c>
      <c r="U6" t="n">
        <v>9975.582</v>
      </c>
      <c r="V6" t="n">
        <v>10336.316</v>
      </c>
    </row>
    <row r="7">
      <c r="A7" s="1" t="inlineStr">
        <is>
          <t>ส่วนของเจ้าของรวม</t>
        </is>
      </c>
      <c r="B7" t="n">
        <v>5340.39</v>
      </c>
      <c r="C7" t="n">
        <v>5272.208</v>
      </c>
      <c r="D7" t="n">
        <v>5225.804</v>
      </c>
      <c r="E7" t="n">
        <v>5220.527</v>
      </c>
      <c r="F7" t="n">
        <v>6070.568</v>
      </c>
      <c r="G7" t="n">
        <v>6056.51</v>
      </c>
      <c r="H7" t="n">
        <v>6057.951</v>
      </c>
      <c r="I7" t="n">
        <v>6077.899</v>
      </c>
      <c r="J7" t="n">
        <v>6092.038</v>
      </c>
      <c r="K7" t="n">
        <v>6072.954</v>
      </c>
      <c r="L7" t="n">
        <v>6068.102</v>
      </c>
      <c r="M7" t="n">
        <v>6085.32</v>
      </c>
      <c r="N7" t="n">
        <v>6049.842</v>
      </c>
      <c r="O7" t="n">
        <v>6075.806</v>
      </c>
      <c r="P7" t="n">
        <v>6073.584</v>
      </c>
      <c r="Q7" t="n">
        <v>5982.58</v>
      </c>
      <c r="R7" t="n">
        <v>6008.757</v>
      </c>
      <c r="S7" t="n">
        <v>6021.921</v>
      </c>
      <c r="T7" t="n">
        <v>5951.899</v>
      </c>
      <c r="U7" t="n">
        <v>5943.492</v>
      </c>
      <c r="V7" t="n">
        <v>5913.129</v>
      </c>
    </row>
    <row r="8">
      <c r="A8" s="1" t="inlineStr">
        <is>
          <t>หนี้สินรวม</t>
        </is>
      </c>
      <c r="B8" t="n">
        <v>4228.883</v>
      </c>
      <c r="C8" t="n">
        <v>4181.369</v>
      </c>
      <c r="D8" t="n">
        <v>4207.248</v>
      </c>
      <c r="E8" t="n">
        <v>4196.199</v>
      </c>
      <c r="F8" t="n">
        <v>4430.368</v>
      </c>
      <c r="G8" t="n">
        <v>4345.21</v>
      </c>
      <c r="H8" t="n">
        <v>4331.106</v>
      </c>
      <c r="I8" t="n">
        <v>4337.113</v>
      </c>
      <c r="J8" t="n">
        <v>4364.514</v>
      </c>
      <c r="K8" t="n">
        <v>4252.036</v>
      </c>
      <c r="L8" t="n">
        <v>4209.654</v>
      </c>
      <c r="M8" t="n">
        <v>4164.722</v>
      </c>
      <c r="N8" t="n">
        <v>4162.454</v>
      </c>
      <c r="O8" t="n">
        <v>4119.209</v>
      </c>
      <c r="P8" t="n">
        <v>4263.561</v>
      </c>
      <c r="Q8" t="n">
        <v>4164.514</v>
      </c>
      <c r="R8" t="n">
        <v>4131.994</v>
      </c>
      <c r="S8" t="n">
        <v>4196.368</v>
      </c>
      <c r="T8" t="n">
        <v>4061.489</v>
      </c>
      <c r="U8" t="n">
        <v>4032.09</v>
      </c>
      <c r="V8" t="n">
        <v>4423.187</v>
      </c>
    </row>
    <row r="9">
      <c r="A9" s="7" t="inlineStr">
        <is>
          <t>■ CENTEL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>
      <c r="A10" s="1" t="inlineStr">
        <is>
          <t>ลูกหนี้การค้า</t>
        </is>
      </c>
      <c r="B10" t="n">
        <v>514.365</v>
      </c>
      <c r="C10" t="n">
        <v>547.528</v>
      </c>
      <c r="D10" t="n">
        <v>617.865</v>
      </c>
      <c r="E10" t="n">
        <v>636.505</v>
      </c>
      <c r="F10" t="n">
        <v>801.362</v>
      </c>
      <c r="G10" t="n">
        <v>1000.029</v>
      </c>
      <c r="H10" t="n">
        <v>942.428</v>
      </c>
      <c r="I10" t="n">
        <v>1016.611</v>
      </c>
      <c r="J10" t="n">
        <v>1227.403</v>
      </c>
      <c r="K10" t="n">
        <v>1302.916</v>
      </c>
      <c r="L10" t="n">
        <v>758.174</v>
      </c>
      <c r="M10" t="n">
        <v>829.4299999999999</v>
      </c>
      <c r="N10" t="n">
        <v>1518.978</v>
      </c>
      <c r="O10" t="n">
        <v>1316.054</v>
      </c>
      <c r="P10" t="n">
        <v>935.457</v>
      </c>
      <c r="Q10" t="n">
        <v>861.2910000000001</v>
      </c>
      <c r="R10" t="n">
        <v>1207.737</v>
      </c>
      <c r="S10" t="n">
        <v>1141.727</v>
      </c>
      <c r="T10" t="n">
        <v>794.157</v>
      </c>
      <c r="U10" t="n">
        <v>815.54</v>
      </c>
      <c r="V10" t="n">
        <v>961.72</v>
      </c>
    </row>
    <row r="11">
      <c r="A11" s="1" t="inlineStr">
        <is>
          <t>สินค้าคงเหลือ</t>
        </is>
      </c>
      <c r="B11" t="n">
        <v>781.75</v>
      </c>
      <c r="C11" t="n">
        <v>724.063</v>
      </c>
      <c r="D11" t="n">
        <v>709.102</v>
      </c>
      <c r="E11" t="n">
        <v>692.58</v>
      </c>
      <c r="F11" t="n">
        <v>747.784</v>
      </c>
      <c r="G11" t="n">
        <v>708.707</v>
      </c>
      <c r="H11" t="n">
        <v>761.576</v>
      </c>
      <c r="I11" t="n">
        <v>810.562</v>
      </c>
      <c r="J11" t="n">
        <v>1023.892</v>
      </c>
      <c r="K11" t="n">
        <v>921.8440000000001</v>
      </c>
      <c r="L11" t="n">
        <v>947.188</v>
      </c>
      <c r="M11" t="n">
        <v>994.67</v>
      </c>
      <c r="N11" t="n">
        <v>982.422</v>
      </c>
      <c r="O11" t="n">
        <v>833.05</v>
      </c>
      <c r="P11" t="n">
        <v>781.03</v>
      </c>
      <c r="Q11" t="n">
        <v>850.04</v>
      </c>
      <c r="R11" t="n">
        <v>904.759</v>
      </c>
      <c r="S11" t="n">
        <v>834.687</v>
      </c>
      <c r="T11" t="n">
        <v>818.407</v>
      </c>
      <c r="U11" t="n">
        <v>749.963</v>
      </c>
      <c r="V11" t="n">
        <v>868.216</v>
      </c>
    </row>
    <row r="12">
      <c r="A12" s="1" t="inlineStr">
        <is>
          <t>เจ้าหนี้การค้า</t>
        </is>
      </c>
      <c r="B12" t="n">
        <v>1872.976</v>
      </c>
      <c r="C12" t="n">
        <v>1709.627</v>
      </c>
      <c r="D12" t="n">
        <v>2025.123</v>
      </c>
      <c r="E12" t="n">
        <v>2231.583</v>
      </c>
      <c r="F12" t="n">
        <v>2669.31</v>
      </c>
      <c r="G12" t="n">
        <v>2499.627</v>
      </c>
      <c r="H12" t="n">
        <v>2692.844</v>
      </c>
      <c r="I12" t="n">
        <v>2944.464</v>
      </c>
      <c r="J12" t="n">
        <v>3459.77</v>
      </c>
      <c r="K12" t="n">
        <v>3104.468</v>
      </c>
      <c r="L12" t="n">
        <v>2603.264</v>
      </c>
      <c r="M12" t="n">
        <v>2676.562</v>
      </c>
      <c r="N12" t="n">
        <v>3445.335</v>
      </c>
      <c r="O12" t="n">
        <v>2946.41</v>
      </c>
      <c r="P12" t="n">
        <v>3422.567</v>
      </c>
      <c r="Q12" t="n">
        <v>3499.966</v>
      </c>
      <c r="R12" t="n">
        <v>4423.239</v>
      </c>
      <c r="S12" t="n">
        <v>3316.245</v>
      </c>
      <c r="T12" t="n">
        <v>3165.901</v>
      </c>
      <c r="U12" t="n">
        <v>3237.658</v>
      </c>
      <c r="V12" t="n">
        <v>3929.778</v>
      </c>
    </row>
    <row r="13">
      <c r="A13" s="1" t="inlineStr">
        <is>
          <t>สินทรัพย์รวม</t>
        </is>
      </c>
      <c r="B13" t="n">
        <v>35350.143</v>
      </c>
      <c r="C13" t="n">
        <v>35606.005</v>
      </c>
      <c r="D13" t="n">
        <v>47682.473</v>
      </c>
      <c r="E13" t="n">
        <v>47879.915</v>
      </c>
      <c r="F13" t="n">
        <v>48592.543</v>
      </c>
      <c r="G13" t="n">
        <v>48299.979</v>
      </c>
      <c r="H13" t="n">
        <v>48024.246</v>
      </c>
      <c r="I13" t="n">
        <v>48487.277</v>
      </c>
      <c r="J13" t="n">
        <v>48165.592</v>
      </c>
      <c r="K13" t="n">
        <v>53217.562</v>
      </c>
      <c r="L13" t="n">
        <v>55207.933</v>
      </c>
      <c r="M13" t="n">
        <v>53693.546</v>
      </c>
      <c r="N13" t="n">
        <v>54203.613</v>
      </c>
      <c r="O13" t="n">
        <v>54465.345</v>
      </c>
      <c r="P13" t="n">
        <v>56258.126</v>
      </c>
      <c r="Q13" t="n">
        <v>56536.705</v>
      </c>
      <c r="R13" t="n">
        <v>60760.633</v>
      </c>
      <c r="S13" t="n">
        <v>60445.465</v>
      </c>
      <c r="T13" t="n">
        <v>61666.464</v>
      </c>
      <c r="U13" t="n">
        <v>61162.494</v>
      </c>
      <c r="V13" t="n">
        <v>62728.019</v>
      </c>
    </row>
    <row r="14">
      <c r="A14" s="1" t="inlineStr">
        <is>
          <t>ส่วนของเจ้าของรวม</t>
        </is>
      </c>
      <c r="B14" t="n">
        <v>10215.557</v>
      </c>
      <c r="C14" t="n">
        <v>9870.319</v>
      </c>
      <c r="D14" t="n">
        <v>18980.132</v>
      </c>
      <c r="E14" t="n">
        <v>18303.915</v>
      </c>
      <c r="F14" t="n">
        <v>18431.688</v>
      </c>
      <c r="G14" t="n">
        <v>18406.311</v>
      </c>
      <c r="H14" t="n">
        <v>18618.833</v>
      </c>
      <c r="I14" t="n">
        <v>18831.117</v>
      </c>
      <c r="J14" t="n">
        <v>18890.728</v>
      </c>
      <c r="K14" t="n">
        <v>19545.804</v>
      </c>
      <c r="L14" t="n">
        <v>19812.619</v>
      </c>
      <c r="M14" t="n">
        <v>20005.735</v>
      </c>
      <c r="N14" t="n">
        <v>20017.983</v>
      </c>
      <c r="O14" t="n">
        <v>21173.536</v>
      </c>
      <c r="P14" t="n">
        <v>20811.002</v>
      </c>
      <c r="Q14" t="n">
        <v>19919.18</v>
      </c>
      <c r="R14" t="n">
        <v>20949.737</v>
      </c>
      <c r="S14" t="n">
        <v>21712.54</v>
      </c>
      <c r="T14" t="n">
        <v>21693.156</v>
      </c>
      <c r="U14" t="n">
        <v>21785.05</v>
      </c>
      <c r="V14" t="n">
        <v>22614.472</v>
      </c>
    </row>
    <row r="15">
      <c r="A15" s="1" t="inlineStr">
        <is>
          <t>หนี้สินรวม</t>
        </is>
      </c>
      <c r="B15" t="n">
        <v>25134.586</v>
      </c>
      <c r="C15" t="n">
        <v>25735.686</v>
      </c>
      <c r="D15" t="n">
        <v>28702.341</v>
      </c>
      <c r="E15" t="n">
        <v>29576</v>
      </c>
      <c r="F15" t="n">
        <v>30160.854</v>
      </c>
      <c r="G15" t="n">
        <v>29893.668</v>
      </c>
      <c r="H15" t="n">
        <v>29405.413</v>
      </c>
      <c r="I15" t="n">
        <v>29656.16</v>
      </c>
      <c r="J15" t="n">
        <v>29274.864</v>
      </c>
      <c r="K15" t="n">
        <v>33671.758</v>
      </c>
      <c r="L15" t="n">
        <v>35395.314</v>
      </c>
      <c r="M15" t="n">
        <v>33687.811</v>
      </c>
      <c r="N15" t="n">
        <v>34185.63</v>
      </c>
      <c r="O15" t="n">
        <v>33291.809</v>
      </c>
      <c r="P15" t="n">
        <v>35447.124</v>
      </c>
      <c r="Q15" t="n">
        <v>36617.525</v>
      </c>
      <c r="R15" t="n">
        <v>39810.895</v>
      </c>
      <c r="S15" t="n">
        <v>38732.925</v>
      </c>
      <c r="T15" t="n">
        <v>39973.308</v>
      </c>
      <c r="U15" t="n">
        <v>39377.444</v>
      </c>
      <c r="V15" t="n">
        <v>40113.547</v>
      </c>
    </row>
    <row r="16">
      <c r="A16" s="7" t="inlineStr">
        <is>
          <t>■ DUSIT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>
      <c r="A17" s="1" t="inlineStr">
        <is>
          <t>ลูกหนี้การค้า</t>
        </is>
      </c>
      <c r="B17" t="n">
        <v>653.419</v>
      </c>
      <c r="C17" t="n">
        <v>690.047</v>
      </c>
      <c r="D17" t="n">
        <v>356.836</v>
      </c>
      <c r="E17" t="n">
        <v>391.843</v>
      </c>
      <c r="F17" t="n">
        <v>437.811</v>
      </c>
      <c r="G17" t="n">
        <v>474.284</v>
      </c>
      <c r="H17" t="n">
        <v>468.063</v>
      </c>
      <c r="I17" t="n">
        <v>479.575</v>
      </c>
      <c r="J17" t="n">
        <v>533.587</v>
      </c>
      <c r="K17" t="n">
        <v>608.309</v>
      </c>
      <c r="L17" t="n">
        <v>551.16</v>
      </c>
      <c r="M17" t="n">
        <v>541.537</v>
      </c>
      <c r="N17" t="n">
        <v>588.034</v>
      </c>
      <c r="O17" t="n">
        <v>696.4109999999999</v>
      </c>
      <c r="P17" t="n">
        <v>633.355</v>
      </c>
      <c r="Q17" t="n">
        <v>605.2089999999999</v>
      </c>
      <c r="R17" t="n">
        <v>1145.08</v>
      </c>
      <c r="S17" t="n">
        <v>1319.728</v>
      </c>
      <c r="T17" t="n">
        <v>1178.171</v>
      </c>
      <c r="U17" t="n">
        <v>1153.552</v>
      </c>
      <c r="V17" t="n">
        <v>1482.137</v>
      </c>
    </row>
    <row r="18">
      <c r="A18" s="1" t="inlineStr">
        <is>
          <t>สินค้าคงเหลือ</t>
        </is>
      </c>
      <c r="B18" t="n">
        <v>60.804</v>
      </c>
      <c r="C18" t="n">
        <v>57.8</v>
      </c>
      <c r="D18" t="n">
        <v>61.041</v>
      </c>
      <c r="E18" t="n">
        <v>60.491</v>
      </c>
      <c r="F18" t="n">
        <v>64.645</v>
      </c>
      <c r="G18" t="n">
        <v>62.979</v>
      </c>
      <c r="H18" t="n">
        <v>97.569</v>
      </c>
      <c r="I18" t="n">
        <v>96.346</v>
      </c>
      <c r="J18" t="n">
        <v>108.936</v>
      </c>
      <c r="K18" t="n">
        <v>101.163</v>
      </c>
      <c r="L18" t="n">
        <v>96.155</v>
      </c>
      <c r="M18" t="n">
        <v>104.491</v>
      </c>
      <c r="N18" t="n">
        <v>111.339</v>
      </c>
      <c r="O18" t="n">
        <v>110.28</v>
      </c>
      <c r="P18" t="n">
        <v>103.673</v>
      </c>
      <c r="Q18" t="n">
        <v>113.651</v>
      </c>
      <c r="R18" t="n">
        <v>130.736</v>
      </c>
      <c r="S18" t="n">
        <v>131.598</v>
      </c>
      <c r="T18" t="n">
        <v>119.126</v>
      </c>
      <c r="U18" t="n">
        <v>124.156</v>
      </c>
      <c r="V18" t="n">
        <v>133.654</v>
      </c>
    </row>
    <row r="19">
      <c r="A19" s="1" t="inlineStr">
        <is>
          <t>เจ้าหนี้การค้า</t>
        </is>
      </c>
      <c r="B19" t="n">
        <v>1387.644</v>
      </c>
      <c r="C19" t="n">
        <v>1320.651</v>
      </c>
      <c r="D19" t="n">
        <v>1288.561</v>
      </c>
      <c r="E19" t="n">
        <v>1079.508</v>
      </c>
      <c r="F19" t="n">
        <v>1120.696</v>
      </c>
      <c r="G19" t="n">
        <v>1183.463</v>
      </c>
      <c r="H19" t="n">
        <v>1340.928</v>
      </c>
      <c r="I19" t="n">
        <v>1499.649</v>
      </c>
      <c r="J19" t="n">
        <v>1924.155</v>
      </c>
      <c r="K19" t="n">
        <v>1590.817</v>
      </c>
      <c r="L19" t="n">
        <v>1583.687</v>
      </c>
      <c r="M19" t="n">
        <v>1535.035</v>
      </c>
      <c r="N19" t="n">
        <v>1963.555</v>
      </c>
      <c r="O19" t="n">
        <v>1958.66</v>
      </c>
      <c r="P19" t="n">
        <v>1985.955</v>
      </c>
      <c r="Q19" t="n">
        <v>1551.973</v>
      </c>
      <c r="R19" t="n">
        <v>1909.206</v>
      </c>
      <c r="S19" t="n">
        <v>2054.776</v>
      </c>
      <c r="T19" t="n">
        <v>1621.867</v>
      </c>
      <c r="U19" t="n">
        <v>1869.877</v>
      </c>
      <c r="V19" t="n">
        <v>2068.782</v>
      </c>
    </row>
    <row r="20">
      <c r="A20" s="1" t="inlineStr">
        <is>
          <t>สินทรัพย์รวม</t>
        </is>
      </c>
      <c r="B20" t="n">
        <v>22837.787</v>
      </c>
      <c r="C20" t="n">
        <v>22906.168</v>
      </c>
      <c r="D20" t="n">
        <v>23480.262</v>
      </c>
      <c r="E20" t="n">
        <v>23205.748</v>
      </c>
      <c r="F20" t="n">
        <v>23784.095</v>
      </c>
      <c r="G20" t="n">
        <v>23633.973</v>
      </c>
      <c r="H20" t="n">
        <v>24406.326</v>
      </c>
      <c r="I20" t="n">
        <v>25174.767</v>
      </c>
      <c r="J20" t="n">
        <v>26229.168</v>
      </c>
      <c r="K20" t="n">
        <v>26120.156</v>
      </c>
      <c r="L20" t="n">
        <v>26372.37</v>
      </c>
      <c r="M20" t="n">
        <v>26866.736</v>
      </c>
      <c r="N20" t="n">
        <v>27921.871</v>
      </c>
      <c r="O20" t="n">
        <v>29137.063</v>
      </c>
      <c r="P20" t="n">
        <v>36091.311</v>
      </c>
      <c r="Q20" t="n">
        <v>36535.809</v>
      </c>
      <c r="R20" t="n">
        <v>38270.77</v>
      </c>
      <c r="S20" t="n">
        <v>38766.715</v>
      </c>
      <c r="T20" t="n">
        <v>38218.557</v>
      </c>
      <c r="U20" t="n">
        <v>38640.11</v>
      </c>
      <c r="V20" t="n">
        <v>39722.107</v>
      </c>
    </row>
    <row r="21">
      <c r="A21" s="1" t="inlineStr">
        <is>
          <t>ส่วนของเจ้าของรวม</t>
        </is>
      </c>
      <c r="B21" t="n">
        <v>4941.623</v>
      </c>
      <c r="C21" t="n">
        <v>5018.146</v>
      </c>
      <c r="D21" t="n">
        <v>4598.673</v>
      </c>
      <c r="E21" t="n">
        <v>4270.658</v>
      </c>
      <c r="F21" t="n">
        <v>3894.707</v>
      </c>
      <c r="G21" t="n">
        <v>3745.462</v>
      </c>
      <c r="H21" t="n">
        <v>3382.117</v>
      </c>
      <c r="I21" t="n">
        <v>4939.511</v>
      </c>
      <c r="J21" t="n">
        <v>5044.523</v>
      </c>
      <c r="K21" t="n">
        <v>4996.057</v>
      </c>
      <c r="L21" t="n">
        <v>4779.847</v>
      </c>
      <c r="M21" t="n">
        <v>4459.141</v>
      </c>
      <c r="N21" t="n">
        <v>4313.116</v>
      </c>
      <c r="O21" t="n">
        <v>4358.869</v>
      </c>
      <c r="P21" t="n">
        <v>9148.35</v>
      </c>
      <c r="Q21" t="n">
        <v>8405.571</v>
      </c>
      <c r="R21" t="n">
        <v>8788.434999999999</v>
      </c>
      <c r="S21" t="n">
        <v>8750.937</v>
      </c>
      <c r="T21" t="n">
        <v>8416.257</v>
      </c>
      <c r="U21" t="n">
        <v>7941.989</v>
      </c>
      <c r="V21" t="n">
        <v>8261.867</v>
      </c>
    </row>
    <row r="22">
      <c r="A22" s="1" t="inlineStr">
        <is>
          <t>หนี้สินรวม</t>
        </is>
      </c>
      <c r="B22" t="n">
        <v>17896.164</v>
      </c>
      <c r="C22" t="n">
        <v>17888.022</v>
      </c>
      <c r="D22" t="n">
        <v>18881.589</v>
      </c>
      <c r="E22" t="n">
        <v>18935.09</v>
      </c>
      <c r="F22" t="n">
        <v>19889.388</v>
      </c>
      <c r="G22" t="n">
        <v>19888.511</v>
      </c>
      <c r="H22" t="n">
        <v>21024.209</v>
      </c>
      <c r="I22" t="n">
        <v>20235.256</v>
      </c>
      <c r="J22" t="n">
        <v>21184.645</v>
      </c>
      <c r="K22" t="n">
        <v>21124.099</v>
      </c>
      <c r="L22" t="n">
        <v>21592.523</v>
      </c>
      <c r="M22" t="n">
        <v>22407.595</v>
      </c>
      <c r="N22" t="n">
        <v>23608.755</v>
      </c>
      <c r="O22" t="n">
        <v>24778.194</v>
      </c>
      <c r="P22" t="n">
        <v>26942.961</v>
      </c>
      <c r="Q22" t="n">
        <v>28130.238</v>
      </c>
      <c r="R22" t="n">
        <v>29482.335</v>
      </c>
      <c r="S22" t="n">
        <v>30015.778</v>
      </c>
      <c r="T22" t="n">
        <v>29802.3</v>
      </c>
      <c r="U22" t="n">
        <v>30698.121</v>
      </c>
      <c r="V22" t="n">
        <v>31460.24</v>
      </c>
    </row>
    <row r="23">
      <c r="A23" s="7" t="inlineStr">
        <is>
          <t>■ ERW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</row>
    <row r="24">
      <c r="A24" s="1" t="inlineStr">
        <is>
          <t>ลูกหนี้การค้า</t>
        </is>
      </c>
      <c r="B24" t="n">
        <v>76.587</v>
      </c>
      <c r="C24" t="n">
        <v>66.958</v>
      </c>
      <c r="D24" t="n">
        <v>47.166</v>
      </c>
      <c r="E24" t="n">
        <v>53.535</v>
      </c>
      <c r="F24" t="n">
        <v>99.854</v>
      </c>
      <c r="G24" t="n">
        <v>116.99</v>
      </c>
      <c r="H24" t="n">
        <v>115.151</v>
      </c>
      <c r="I24" t="n">
        <v>145.022</v>
      </c>
      <c r="J24" t="n">
        <v>159.805</v>
      </c>
      <c r="K24" t="n">
        <v>155.536</v>
      </c>
      <c r="L24" t="n">
        <v>129.797</v>
      </c>
      <c r="M24" t="n">
        <v>127.605</v>
      </c>
      <c r="N24" t="n">
        <v>169.827</v>
      </c>
      <c r="O24" t="n">
        <v>150.106</v>
      </c>
      <c r="P24" t="n">
        <v>143.792</v>
      </c>
      <c r="Q24" t="n">
        <v>139.711</v>
      </c>
      <c r="R24" t="n">
        <v>222.438</v>
      </c>
      <c r="S24" t="n">
        <v>160.189</v>
      </c>
      <c r="T24" t="n">
        <v>120.711</v>
      </c>
      <c r="U24" t="n">
        <v>155.074</v>
      </c>
      <c r="V24" t="n">
        <v>232.438</v>
      </c>
    </row>
    <row r="25">
      <c r="A25" s="1" t="inlineStr">
        <is>
          <t>สินค้าคงเหลือ</t>
        </is>
      </c>
      <c r="B25" t="n">
        <v>46.207</v>
      </c>
      <c r="C25" t="n">
        <v>40.275</v>
      </c>
      <c r="D25" t="n">
        <v>38.527</v>
      </c>
      <c r="E25" t="n">
        <v>37.071</v>
      </c>
      <c r="F25" t="n">
        <v>39.306</v>
      </c>
      <c r="G25" t="n">
        <v>35.258</v>
      </c>
      <c r="H25" t="n">
        <v>37.341</v>
      </c>
      <c r="I25" t="n">
        <v>38.492</v>
      </c>
      <c r="J25" t="n">
        <v>43.467</v>
      </c>
      <c r="K25" t="n">
        <v>37.421</v>
      </c>
      <c r="L25" t="n">
        <v>37.818</v>
      </c>
      <c r="M25" t="n">
        <v>41.197</v>
      </c>
      <c r="N25" t="n">
        <v>48.963</v>
      </c>
      <c r="O25" t="n">
        <v>42.976</v>
      </c>
      <c r="P25" t="n">
        <v>40.795</v>
      </c>
      <c r="Q25" t="n">
        <v>41.77</v>
      </c>
      <c r="R25" t="n">
        <v>42.817</v>
      </c>
      <c r="S25" t="n">
        <v>41.126</v>
      </c>
      <c r="T25" t="n">
        <v>39.848</v>
      </c>
      <c r="U25" t="n">
        <v>42.315</v>
      </c>
      <c r="V25" t="n">
        <v>40.396</v>
      </c>
    </row>
    <row r="26">
      <c r="A26" s="1" t="inlineStr">
        <is>
          <t>เจ้าหนี้การค้า</t>
        </is>
      </c>
      <c r="B26" t="n">
        <v>144.666</v>
      </c>
      <c r="C26" t="n">
        <v>103.802</v>
      </c>
      <c r="D26" t="n">
        <v>70.72799999999999</v>
      </c>
      <c r="E26" t="n">
        <v>70.03</v>
      </c>
      <c r="F26" t="n">
        <v>142.676</v>
      </c>
      <c r="G26" t="n">
        <v>106.87</v>
      </c>
      <c r="H26" t="n">
        <v>126.184</v>
      </c>
      <c r="I26" t="n">
        <v>142.653</v>
      </c>
      <c r="J26" t="n">
        <v>234.513</v>
      </c>
      <c r="K26" t="n">
        <v>173.704</v>
      </c>
      <c r="L26" t="n">
        <v>150.803</v>
      </c>
      <c r="M26" t="n">
        <v>180.31</v>
      </c>
      <c r="N26" t="n">
        <v>226.853</v>
      </c>
      <c r="O26" t="n">
        <v>209.768</v>
      </c>
      <c r="P26" t="n">
        <v>192.776</v>
      </c>
      <c r="Q26" t="n">
        <v>169.55</v>
      </c>
      <c r="R26" t="n">
        <v>266.009</v>
      </c>
      <c r="S26" t="n">
        <v>175.013</v>
      </c>
      <c r="T26" t="n">
        <v>154.434</v>
      </c>
      <c r="U26" t="n">
        <v>180.07</v>
      </c>
      <c r="V26" t="n">
        <v>257.323</v>
      </c>
    </row>
    <row r="27">
      <c r="A27" s="1" t="inlineStr">
        <is>
          <t>สินทรัพย์รวม</t>
        </is>
      </c>
      <c r="B27" t="n">
        <v>21214.717</v>
      </c>
      <c r="C27" t="n">
        <v>21048.98</v>
      </c>
      <c r="D27" t="n">
        <v>23603.712</v>
      </c>
      <c r="E27" t="n">
        <v>23296.713</v>
      </c>
      <c r="F27" t="n">
        <v>22450.213</v>
      </c>
      <c r="G27" t="n">
        <v>22388.076</v>
      </c>
      <c r="H27" t="n">
        <v>21250.682</v>
      </c>
      <c r="I27" t="n">
        <v>21433.702</v>
      </c>
      <c r="J27" t="n">
        <v>21711.812</v>
      </c>
      <c r="K27" t="n">
        <v>21482.14</v>
      </c>
      <c r="L27" t="n">
        <v>21552.764</v>
      </c>
      <c r="M27" t="n">
        <v>23814.068</v>
      </c>
      <c r="N27" t="n">
        <v>23674.931</v>
      </c>
      <c r="O27" t="n">
        <v>23907.039</v>
      </c>
      <c r="P27" t="n">
        <v>25567.646</v>
      </c>
      <c r="Q27" t="n">
        <v>24928.592</v>
      </c>
      <c r="R27" t="n">
        <v>26246.078</v>
      </c>
      <c r="S27" t="n">
        <v>25917.3</v>
      </c>
      <c r="T27" t="n">
        <v>25764.928</v>
      </c>
      <c r="U27" t="n">
        <v>25461.134</v>
      </c>
      <c r="V27" t="n">
        <v>26459.926</v>
      </c>
    </row>
    <row r="28">
      <c r="A28" s="1" t="inlineStr">
        <is>
          <t>ส่วนของเจ้าของรวม</t>
        </is>
      </c>
      <c r="B28" t="n">
        <v>3928.559</v>
      </c>
      <c r="C28" t="n">
        <v>3439.943</v>
      </c>
      <c r="D28" t="n">
        <v>6959.668</v>
      </c>
      <c r="E28" t="n">
        <v>6309.161</v>
      </c>
      <c r="F28" t="n">
        <v>6022.719</v>
      </c>
      <c r="G28" t="n">
        <v>5657.401</v>
      </c>
      <c r="H28" t="n">
        <v>5551.743</v>
      </c>
      <c r="I28" t="n">
        <v>5566.029</v>
      </c>
      <c r="J28" t="n">
        <v>5721.626</v>
      </c>
      <c r="K28" t="n">
        <v>5980.403</v>
      </c>
      <c r="L28" t="n">
        <v>6166.695</v>
      </c>
      <c r="M28" t="n">
        <v>6277.706</v>
      </c>
      <c r="N28" t="n">
        <v>6369.945</v>
      </c>
      <c r="O28" t="n">
        <v>6831.886</v>
      </c>
      <c r="P28" t="n">
        <v>7860.623</v>
      </c>
      <c r="Q28" t="n">
        <v>7834.106</v>
      </c>
      <c r="R28" t="n">
        <v>9491.813</v>
      </c>
      <c r="S28" t="n">
        <v>9919.18</v>
      </c>
      <c r="T28" t="n">
        <v>9508.700000000001</v>
      </c>
      <c r="U28" t="n">
        <v>9481.111999999999</v>
      </c>
      <c r="V28" t="n">
        <v>9787.165000000001</v>
      </c>
    </row>
    <row r="29">
      <c r="A29" s="1" t="inlineStr">
        <is>
          <t>หนี้สินรวม</t>
        </is>
      </c>
      <c r="B29" t="n">
        <v>17286.158</v>
      </c>
      <c r="C29" t="n">
        <v>17609.037</v>
      </c>
      <c r="D29" t="n">
        <v>16644.044</v>
      </c>
      <c r="E29" t="n">
        <v>16987.552</v>
      </c>
      <c r="F29" t="n">
        <v>16427.494</v>
      </c>
      <c r="G29" t="n">
        <v>16730.675</v>
      </c>
      <c r="H29" t="n">
        <v>15698.939</v>
      </c>
      <c r="I29" t="n">
        <v>15867.673</v>
      </c>
      <c r="J29" t="n">
        <v>15990.185</v>
      </c>
      <c r="K29" t="n">
        <v>15501.737</v>
      </c>
      <c r="L29" t="n">
        <v>15386.069</v>
      </c>
      <c r="M29" t="n">
        <v>17536.362</v>
      </c>
      <c r="N29" t="n">
        <v>17304.986</v>
      </c>
      <c r="O29" t="n">
        <v>17075.153</v>
      </c>
      <c r="P29" t="n">
        <v>17707.023</v>
      </c>
      <c r="Q29" t="n">
        <v>17094.486</v>
      </c>
      <c r="R29" t="n">
        <v>16754.265</v>
      </c>
      <c r="S29" t="n">
        <v>15998.12</v>
      </c>
      <c r="T29" t="n">
        <v>16256.228</v>
      </c>
      <c r="U29" t="n">
        <v>15980.022</v>
      </c>
      <c r="V29" t="n">
        <v>16672.762</v>
      </c>
    </row>
    <row r="30">
      <c r="A30" s="7" t="inlineStr">
        <is>
          <t>■ MANRIN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</row>
    <row r="31">
      <c r="A31" s="1" t="inlineStr">
        <is>
          <t>ลูกหนี้การค้า</t>
        </is>
      </c>
      <c r="B31" t="n">
        <v>3.025</v>
      </c>
      <c r="C31" t="n">
        <v>4.021</v>
      </c>
      <c r="D31" t="n">
        <v>4.634</v>
      </c>
      <c r="E31" t="n">
        <v>5.573</v>
      </c>
      <c r="F31" t="n">
        <v>5.767</v>
      </c>
      <c r="G31" t="n">
        <v>6.469</v>
      </c>
      <c r="H31" t="n">
        <v>9.369</v>
      </c>
      <c r="I31" t="n">
        <v>12.364</v>
      </c>
      <c r="J31" t="n">
        <v>10.382</v>
      </c>
      <c r="K31" t="n">
        <v>11.744</v>
      </c>
      <c r="L31" t="n">
        <v>11.053</v>
      </c>
      <c r="M31" t="n">
        <v>12.165</v>
      </c>
      <c r="N31" t="n">
        <v>12.261</v>
      </c>
      <c r="O31" t="n">
        <v>18.823</v>
      </c>
      <c r="P31" t="n">
        <v>10.99</v>
      </c>
      <c r="Q31" t="n">
        <v>15.883</v>
      </c>
      <c r="R31" t="n">
        <v>13.217</v>
      </c>
      <c r="S31" t="n">
        <v>16.179</v>
      </c>
      <c r="T31" t="n">
        <v>13.7</v>
      </c>
      <c r="U31" t="n">
        <v>12.902</v>
      </c>
      <c r="V31" t="n">
        <v>10.615</v>
      </c>
    </row>
    <row r="32">
      <c r="A32" s="1" t="inlineStr">
        <is>
          <t>สินค้าคงเหลือ</t>
        </is>
      </c>
      <c r="B32" t="n">
        <v>1.394</v>
      </c>
      <c r="C32" t="n">
        <v>1.236</v>
      </c>
      <c r="D32" t="n">
        <v>1.41</v>
      </c>
      <c r="E32" t="n">
        <v>1.361</v>
      </c>
      <c r="F32" t="n">
        <v>1.243</v>
      </c>
      <c r="G32" t="n">
        <v>1.047</v>
      </c>
      <c r="H32" t="n">
        <v>0.965</v>
      </c>
      <c r="I32" t="n">
        <v>0.985</v>
      </c>
      <c r="J32" t="n">
        <v>1.184</v>
      </c>
      <c r="K32" t="n">
        <v>1.305</v>
      </c>
      <c r="L32" t="n">
        <v>1.217</v>
      </c>
      <c r="M32" t="n">
        <v>1.213</v>
      </c>
      <c r="N32" t="n">
        <v>1.33</v>
      </c>
      <c r="O32" t="n">
        <v>1.039</v>
      </c>
      <c r="P32" t="n">
        <v>1.161</v>
      </c>
      <c r="Q32" t="n">
        <v>1.112</v>
      </c>
      <c r="R32" t="n">
        <v>1.626</v>
      </c>
      <c r="S32" t="n">
        <v>1.348</v>
      </c>
      <c r="T32" t="n">
        <v>1.28</v>
      </c>
      <c r="U32" t="n">
        <v>1.129</v>
      </c>
      <c r="V32" t="n">
        <v>1.637</v>
      </c>
    </row>
    <row r="33">
      <c r="A33" s="1" t="inlineStr">
        <is>
          <t>เจ้าหนี้การค้า</t>
        </is>
      </c>
      <c r="B33" t="n">
        <v>13.798</v>
      </c>
      <c r="C33" t="n">
        <v>13.426</v>
      </c>
      <c r="D33" t="n">
        <v>9.601000000000001</v>
      </c>
      <c r="E33" t="n">
        <v>9.201000000000001</v>
      </c>
      <c r="F33" t="n">
        <v>12.22</v>
      </c>
      <c r="G33" t="n">
        <v>16.715</v>
      </c>
      <c r="H33" t="n">
        <v>22.378</v>
      </c>
      <c r="I33" t="n">
        <v>32.985</v>
      </c>
      <c r="J33" t="n">
        <v>32.359</v>
      </c>
      <c r="K33" t="n">
        <v>26.155</v>
      </c>
      <c r="L33" t="n">
        <v>26.195</v>
      </c>
      <c r="M33" t="n">
        <v>26.106</v>
      </c>
      <c r="N33" t="n">
        <v>27.752</v>
      </c>
      <c r="O33" t="n">
        <v>31.306</v>
      </c>
      <c r="P33" t="n">
        <v>36.151</v>
      </c>
      <c r="Q33" t="n">
        <v>34.527</v>
      </c>
      <c r="R33" t="n">
        <v>40.06</v>
      </c>
      <c r="S33" t="n">
        <v>29.991</v>
      </c>
      <c r="T33" t="n">
        <v>32.141</v>
      </c>
      <c r="U33" t="n">
        <v>38.208</v>
      </c>
      <c r="V33" t="n">
        <v>30.444</v>
      </c>
    </row>
    <row r="34">
      <c r="A34" s="1" t="inlineStr">
        <is>
          <t>สินทรัพย์รวม</t>
        </is>
      </c>
      <c r="B34" t="n">
        <v>848.837</v>
      </c>
      <c r="C34" t="n">
        <v>871.25</v>
      </c>
      <c r="D34" t="n">
        <v>844.104</v>
      </c>
      <c r="E34" t="n">
        <v>855.513</v>
      </c>
      <c r="F34" t="n">
        <v>835.4450000000001</v>
      </c>
      <c r="G34" t="n">
        <v>808.893</v>
      </c>
      <c r="H34" t="n">
        <v>801.741</v>
      </c>
      <c r="I34" t="n">
        <v>807.069</v>
      </c>
      <c r="J34" t="n">
        <v>811.325</v>
      </c>
      <c r="K34" t="n">
        <v>804.05</v>
      </c>
      <c r="L34" t="n">
        <v>747.3579999999999</v>
      </c>
      <c r="M34" t="n">
        <v>754.702</v>
      </c>
      <c r="N34" t="n">
        <v>759.002</v>
      </c>
      <c r="O34" t="n">
        <v>722.818</v>
      </c>
      <c r="P34" t="n">
        <v>698.999</v>
      </c>
      <c r="Q34" t="n">
        <v>699.754</v>
      </c>
      <c r="R34" t="n">
        <v>691.668</v>
      </c>
      <c r="S34" t="n">
        <v>669.244</v>
      </c>
      <c r="T34" t="n">
        <v>668.521</v>
      </c>
      <c r="U34" t="n">
        <v>669.475</v>
      </c>
      <c r="V34" t="n">
        <v>645.327</v>
      </c>
    </row>
    <row r="35">
      <c r="A35" s="1" t="inlineStr">
        <is>
          <t>ส่วนของเจ้าของรวม</t>
        </is>
      </c>
      <c r="B35" t="n">
        <v>439.059</v>
      </c>
      <c r="C35" t="n">
        <v>422.571</v>
      </c>
      <c r="D35" t="n">
        <v>399.987</v>
      </c>
      <c r="E35" t="n">
        <v>412.545</v>
      </c>
      <c r="F35" t="n">
        <v>390.217</v>
      </c>
      <c r="G35" t="n">
        <v>359.923</v>
      </c>
      <c r="H35" t="n">
        <v>347.873</v>
      </c>
      <c r="I35" t="n">
        <v>343.37</v>
      </c>
      <c r="J35" t="n">
        <v>353.04</v>
      </c>
      <c r="K35" t="n">
        <v>359.884</v>
      </c>
      <c r="L35" t="n">
        <v>361.079</v>
      </c>
      <c r="M35" t="n">
        <v>376.451</v>
      </c>
      <c r="N35" t="n">
        <v>387.724</v>
      </c>
      <c r="O35" t="n">
        <v>401.518</v>
      </c>
      <c r="P35" t="n">
        <v>408.4</v>
      </c>
      <c r="Q35" t="n">
        <v>426.595</v>
      </c>
      <c r="R35" t="n">
        <v>438.545</v>
      </c>
      <c r="S35" t="n">
        <v>452.659</v>
      </c>
      <c r="T35" t="n">
        <v>456.324</v>
      </c>
      <c r="U35" t="n">
        <v>468.164</v>
      </c>
      <c r="V35" t="n">
        <v>476.449</v>
      </c>
    </row>
    <row r="36">
      <c r="A36" s="1" t="inlineStr">
        <is>
          <t>หนี้สินรวม</t>
        </is>
      </c>
      <c r="B36" t="n">
        <v>409.778</v>
      </c>
      <c r="C36" t="n">
        <v>448.679</v>
      </c>
      <c r="D36" t="n">
        <v>444.117</v>
      </c>
      <c r="E36" t="n">
        <v>442.968</v>
      </c>
      <c r="F36" t="n">
        <v>445.228</v>
      </c>
      <c r="G36" t="n">
        <v>448.969</v>
      </c>
      <c r="H36" t="n">
        <v>453.868</v>
      </c>
      <c r="I36" t="n">
        <v>463.699</v>
      </c>
      <c r="J36" t="n">
        <v>458.286</v>
      </c>
      <c r="K36" t="n">
        <v>444.166</v>
      </c>
      <c r="L36" t="n">
        <v>386.279</v>
      </c>
      <c r="M36" t="n">
        <v>378.251</v>
      </c>
      <c r="N36" t="n">
        <v>371.278</v>
      </c>
      <c r="O36" t="n">
        <v>321.299</v>
      </c>
      <c r="P36" t="n">
        <v>290.599</v>
      </c>
      <c r="Q36" t="n">
        <v>273.159</v>
      </c>
      <c r="R36" t="n">
        <v>253.123</v>
      </c>
      <c r="S36" t="n">
        <v>216.585</v>
      </c>
      <c r="T36" t="n">
        <v>212.197</v>
      </c>
      <c r="U36" t="n">
        <v>201.311</v>
      </c>
      <c r="V36" t="n">
        <v>168.877</v>
      </c>
    </row>
    <row r="37">
      <c r="A37" s="7" t="inlineStr">
        <is>
          <t>■ MINT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</row>
    <row r="38">
      <c r="A38" s="1" t="inlineStr">
        <is>
          <t>ลูกหนี้การค้า</t>
        </is>
      </c>
      <c r="B38" t="n">
        <v>14523.92</v>
      </c>
      <c r="C38" t="n">
        <v>14721.379</v>
      </c>
      <c r="D38" t="n">
        <v>14396.577</v>
      </c>
      <c r="E38" t="n">
        <v>16127.792</v>
      </c>
      <c r="F38" t="n">
        <v>16864.816</v>
      </c>
      <c r="G38" t="n">
        <v>20758.575</v>
      </c>
      <c r="H38" t="n">
        <v>19195.547</v>
      </c>
      <c r="I38" t="n">
        <v>20887.878</v>
      </c>
      <c r="J38" t="n">
        <v>19372.997</v>
      </c>
      <c r="K38" t="n">
        <v>20232.1</v>
      </c>
      <c r="L38" t="n">
        <v>21612.902</v>
      </c>
      <c r="M38" t="n">
        <v>22006.368</v>
      </c>
      <c r="N38" t="n">
        <v>20564.327</v>
      </c>
      <c r="O38" t="n">
        <v>19703.261</v>
      </c>
      <c r="P38" t="n">
        <v>20247.792</v>
      </c>
      <c r="Q38" t="n">
        <v>18407.006</v>
      </c>
      <c r="R38" t="n">
        <v>13970.341</v>
      </c>
      <c r="S38" t="n">
        <v>14945.937</v>
      </c>
      <c r="T38" t="n">
        <v>15751.811</v>
      </c>
      <c r="U38" t="n">
        <v>17466.545</v>
      </c>
      <c r="V38" t="n">
        <v>15911.602</v>
      </c>
    </row>
    <row r="39">
      <c r="A39" s="1" t="inlineStr">
        <is>
          <t>สินค้าคงเหลือ</t>
        </is>
      </c>
      <c r="B39" t="n">
        <v>3682.608</v>
      </c>
      <c r="C39" t="n">
        <v>3667.674</v>
      </c>
      <c r="D39" t="n">
        <v>3636.485</v>
      </c>
      <c r="E39" t="n">
        <v>3777.876</v>
      </c>
      <c r="F39" t="n">
        <v>3490.183</v>
      </c>
      <c r="G39" t="n">
        <v>3671.525</v>
      </c>
      <c r="H39" t="n">
        <v>3982.958</v>
      </c>
      <c r="I39" t="n">
        <v>3907.026</v>
      </c>
      <c r="J39" t="n">
        <v>3909.198</v>
      </c>
      <c r="K39" t="n">
        <v>3817.805</v>
      </c>
      <c r="L39" t="n">
        <v>3981.635</v>
      </c>
      <c r="M39" t="n">
        <v>3875.773</v>
      </c>
      <c r="N39" t="n">
        <v>3820.416</v>
      </c>
      <c r="O39" t="n">
        <v>3756.272</v>
      </c>
      <c r="P39" t="n">
        <v>3907.044</v>
      </c>
      <c r="Q39" t="n">
        <v>3908.265</v>
      </c>
      <c r="R39" t="n">
        <v>3917.636</v>
      </c>
      <c r="S39" t="n">
        <v>4088.494</v>
      </c>
      <c r="T39" t="n">
        <v>4157.115</v>
      </c>
      <c r="U39" t="n">
        <v>4137.789</v>
      </c>
      <c r="V39" t="n">
        <v>3921.48</v>
      </c>
    </row>
    <row r="40">
      <c r="A40" s="1" t="inlineStr">
        <is>
          <t>เจ้าหนี้การค้า</t>
        </is>
      </c>
      <c r="B40" t="n">
        <v>15310.438</v>
      </c>
      <c r="C40" t="n">
        <v>15245.522</v>
      </c>
      <c r="D40" t="n">
        <v>15838.852</v>
      </c>
      <c r="E40" t="n">
        <v>17618.801</v>
      </c>
      <c r="F40" t="n">
        <v>18393.64</v>
      </c>
      <c r="G40" t="n">
        <v>18781.601</v>
      </c>
      <c r="H40" t="n">
        <v>19282.544</v>
      </c>
      <c r="I40" t="n">
        <v>20414.772</v>
      </c>
      <c r="J40" t="n">
        <v>21806.521</v>
      </c>
      <c r="K40" t="n">
        <v>21635.269</v>
      </c>
      <c r="L40" t="n">
        <v>24038.032</v>
      </c>
      <c r="M40" t="n">
        <v>23542.235</v>
      </c>
      <c r="N40" t="n">
        <v>24953.308</v>
      </c>
      <c r="O40" t="n">
        <v>24726.24</v>
      </c>
      <c r="P40" t="n">
        <v>23792.342</v>
      </c>
      <c r="Q40" t="n">
        <v>22804.063</v>
      </c>
      <c r="R40" t="n">
        <v>24414.611</v>
      </c>
      <c r="S40" t="n">
        <v>22052.993</v>
      </c>
      <c r="T40" t="n">
        <v>24610.107</v>
      </c>
      <c r="U40" t="n">
        <v>23955.136</v>
      </c>
      <c r="V40" t="n">
        <v>25606.359</v>
      </c>
    </row>
    <row r="41">
      <c r="A41" s="1" t="inlineStr">
        <is>
          <t>สินทรัพย์รวม</t>
        </is>
      </c>
      <c r="B41" t="n">
        <v>362326.518</v>
      </c>
      <c r="C41" t="n">
        <v>353002.88</v>
      </c>
      <c r="D41" t="n">
        <v>362628.36</v>
      </c>
      <c r="E41" t="n">
        <v>359719.892</v>
      </c>
      <c r="F41" t="n">
        <v>369632.89</v>
      </c>
      <c r="G41" t="n">
        <v>363430.987</v>
      </c>
      <c r="H41" t="n">
        <v>364423.437</v>
      </c>
      <c r="I41" t="n">
        <v>370265.417</v>
      </c>
      <c r="J41" t="n">
        <v>358209.761</v>
      </c>
      <c r="K41" t="n">
        <v>362049.415</v>
      </c>
      <c r="L41" t="n">
        <v>371204.823</v>
      </c>
      <c r="M41" t="n">
        <v>370070.456</v>
      </c>
      <c r="N41" t="n">
        <v>359195.923</v>
      </c>
      <c r="O41" t="n">
        <v>368813.476</v>
      </c>
      <c r="P41" t="n">
        <v>372383.166</v>
      </c>
      <c r="Q41" t="n">
        <v>344558.581</v>
      </c>
      <c r="R41" t="n">
        <v>346844.932</v>
      </c>
      <c r="S41" t="n">
        <v>355544.01</v>
      </c>
      <c r="T41" t="n">
        <v>366301.08</v>
      </c>
      <c r="U41" t="n">
        <v>356649.372</v>
      </c>
      <c r="V41" t="n">
        <v>357329.667</v>
      </c>
    </row>
    <row r="42">
      <c r="A42" s="1" t="inlineStr">
        <is>
          <t>ส่วนของเจ้าของรวม</t>
        </is>
      </c>
      <c r="B42" t="n">
        <v>76323.90300000001</v>
      </c>
      <c r="C42" t="n">
        <v>69419.738</v>
      </c>
      <c r="D42" t="n">
        <v>65612.425</v>
      </c>
      <c r="E42" t="n">
        <v>63481.21</v>
      </c>
      <c r="F42" t="n">
        <v>79492.42999999999</v>
      </c>
      <c r="G42" t="n">
        <v>75663.465</v>
      </c>
      <c r="H42" t="n">
        <v>79308.323</v>
      </c>
      <c r="I42" t="n">
        <v>84082.853</v>
      </c>
      <c r="J42" t="n">
        <v>82608.97</v>
      </c>
      <c r="K42" t="n">
        <v>92390.46000000001</v>
      </c>
      <c r="L42" t="n">
        <v>85719.93700000001</v>
      </c>
      <c r="M42" t="n">
        <v>88073.20600000001</v>
      </c>
      <c r="N42" t="n">
        <v>87294.557</v>
      </c>
      <c r="O42" t="n">
        <v>91861.587</v>
      </c>
      <c r="P42" t="n">
        <v>94773.579</v>
      </c>
      <c r="Q42" t="n">
        <v>89490.583</v>
      </c>
      <c r="R42" t="n">
        <v>99136.83100000001</v>
      </c>
      <c r="S42" t="n">
        <v>98317.427</v>
      </c>
      <c r="T42" t="n">
        <v>99185.386</v>
      </c>
      <c r="U42" t="n">
        <v>94833.336</v>
      </c>
      <c r="V42" t="n">
        <v>96985.65700000001</v>
      </c>
    </row>
    <row r="43">
      <c r="A43" s="1" t="inlineStr">
        <is>
          <t>หนี้สินรวม</t>
        </is>
      </c>
      <c r="B43" t="n">
        <v>286002.615</v>
      </c>
      <c r="C43" t="n">
        <v>283583.142</v>
      </c>
      <c r="D43" t="n">
        <v>297015.935</v>
      </c>
      <c r="E43" t="n">
        <v>296238.682</v>
      </c>
      <c r="F43" t="n">
        <v>290140.459</v>
      </c>
      <c r="G43" t="n">
        <v>287767.522</v>
      </c>
      <c r="H43" t="n">
        <v>285115.114</v>
      </c>
      <c r="I43" t="n">
        <v>286182.564</v>
      </c>
      <c r="J43" t="n">
        <v>275600.791</v>
      </c>
      <c r="K43" t="n">
        <v>269658.955</v>
      </c>
      <c r="L43" t="n">
        <v>285484.886</v>
      </c>
      <c r="M43" t="n">
        <v>281997.25</v>
      </c>
      <c r="N43" t="n">
        <v>271901.367</v>
      </c>
      <c r="O43" t="n">
        <v>276951.889</v>
      </c>
      <c r="P43" t="n">
        <v>277609.587</v>
      </c>
      <c r="Q43" t="n">
        <v>255067.998</v>
      </c>
      <c r="R43" t="n">
        <v>247708.101</v>
      </c>
      <c r="S43" t="n">
        <v>257226.583</v>
      </c>
      <c r="T43" t="n">
        <v>267115.694</v>
      </c>
      <c r="U43" t="n">
        <v>261816.036</v>
      </c>
      <c r="V43" t="n">
        <v>260344.009</v>
      </c>
    </row>
    <row r="44">
      <c r="A44" s="7" t="inlineStr">
        <is>
          <t>■ OHTL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</row>
    <row r="45">
      <c r="A45" s="1" t="inlineStr">
        <is>
          <t>ลูกหนี้การค้า</t>
        </is>
      </c>
      <c r="B45" t="n">
        <v>46.356</v>
      </c>
      <c r="C45" t="n">
        <v>30.211</v>
      </c>
      <c r="D45" t="n">
        <v>29.348</v>
      </c>
      <c r="E45" t="n">
        <v>45.735</v>
      </c>
      <c r="F45" t="n">
        <v>67.10299999999999</v>
      </c>
      <c r="G45" t="n">
        <v>48.531</v>
      </c>
      <c r="H45" t="n">
        <v>61.559</v>
      </c>
      <c r="I45" t="n">
        <v>68.98399999999999</v>
      </c>
      <c r="J45" t="n">
        <v>120.81</v>
      </c>
      <c r="K45" t="n">
        <v>87.801</v>
      </c>
      <c r="L45" t="n">
        <v>94.71599999999999</v>
      </c>
      <c r="M45" t="n">
        <v>95.655</v>
      </c>
      <c r="N45" t="n">
        <v>102.683</v>
      </c>
      <c r="O45" t="n">
        <v>80.002</v>
      </c>
      <c r="P45" t="n">
        <v>86.32299999999999</v>
      </c>
      <c r="Q45" t="n">
        <v>98.321</v>
      </c>
      <c r="R45" t="n">
        <v>84.202</v>
      </c>
      <c r="S45" t="n">
        <v>89.53</v>
      </c>
      <c r="T45" t="n">
        <v>67.426</v>
      </c>
      <c r="U45" t="n">
        <v>78.992</v>
      </c>
      <c r="V45" t="n">
        <v>107.373</v>
      </c>
    </row>
    <row r="46">
      <c r="A46" s="1" t="inlineStr">
        <is>
          <t>สินค้าคงเหลือ</t>
        </is>
      </c>
      <c r="B46" t="n">
        <v>18.225</v>
      </c>
      <c r="C46" t="n">
        <v>18.218</v>
      </c>
      <c r="D46" t="n">
        <v>20.254</v>
      </c>
      <c r="E46" t="n">
        <v>19.472</v>
      </c>
      <c r="F46" t="n">
        <v>20.546</v>
      </c>
      <c r="G46" t="n">
        <v>20.229</v>
      </c>
      <c r="H46" t="n">
        <v>20.987</v>
      </c>
      <c r="I46" t="n">
        <v>20.889</v>
      </c>
      <c r="J46" t="n">
        <v>26.577</v>
      </c>
      <c r="K46" t="n">
        <v>26.76</v>
      </c>
      <c r="L46" t="n">
        <v>27.031</v>
      </c>
      <c r="M46" t="n">
        <v>27.77</v>
      </c>
      <c r="N46" t="n">
        <v>32.461</v>
      </c>
      <c r="O46" t="n">
        <v>24.372</v>
      </c>
      <c r="P46" t="n">
        <v>24.019</v>
      </c>
      <c r="Q46" t="n">
        <v>22.476</v>
      </c>
      <c r="R46" t="n">
        <v>28.86</v>
      </c>
      <c r="S46" t="n">
        <v>23.142</v>
      </c>
      <c r="T46" t="n">
        <v>20.679</v>
      </c>
      <c r="U46" t="n">
        <v>32.895</v>
      </c>
      <c r="V46" t="n">
        <v>36.342</v>
      </c>
    </row>
    <row r="47">
      <c r="A47" s="1" t="inlineStr">
        <is>
          <t>เจ้าหนี้การค้า</t>
        </is>
      </c>
      <c r="B47" t="n">
        <v>397.078</v>
      </c>
      <c r="C47" t="n">
        <v>304.342</v>
      </c>
      <c r="D47" t="n">
        <v>275.818</v>
      </c>
      <c r="E47" t="n">
        <v>249.384</v>
      </c>
      <c r="F47" t="n">
        <v>294.506</v>
      </c>
      <c r="G47" t="n">
        <v>273.374</v>
      </c>
      <c r="H47" t="n">
        <v>255.272</v>
      </c>
      <c r="I47" t="n">
        <v>323.347</v>
      </c>
      <c r="J47" t="n">
        <v>344.898</v>
      </c>
      <c r="K47" t="n">
        <v>250.411</v>
      </c>
      <c r="L47" t="n">
        <v>285.624</v>
      </c>
      <c r="M47" t="n">
        <v>346.704</v>
      </c>
      <c r="N47" t="n">
        <v>365.717</v>
      </c>
      <c r="O47" t="n">
        <v>319.664</v>
      </c>
      <c r="P47" t="n">
        <v>296.01</v>
      </c>
      <c r="Q47" t="n">
        <v>343.843</v>
      </c>
      <c r="R47" t="n">
        <v>374.801</v>
      </c>
      <c r="S47" t="n">
        <v>268.276</v>
      </c>
      <c r="T47" t="n">
        <v>280.673</v>
      </c>
      <c r="U47" t="n">
        <v>503.869</v>
      </c>
      <c r="V47" t="n">
        <v>598.6420000000001</v>
      </c>
    </row>
    <row r="48">
      <c r="A48" s="1" t="inlineStr">
        <is>
          <t>สินทรัพย์รวม</t>
        </is>
      </c>
      <c r="B48" t="n">
        <v>6742.074</v>
      </c>
      <c r="C48" t="n">
        <v>6566.336</v>
      </c>
      <c r="D48" t="n">
        <v>6436.177</v>
      </c>
      <c r="E48" t="n">
        <v>6335.593</v>
      </c>
      <c r="F48" t="n">
        <v>6303.015</v>
      </c>
      <c r="G48" t="n">
        <v>6169.437</v>
      </c>
      <c r="H48" t="n">
        <v>6101.65</v>
      </c>
      <c r="I48" t="n">
        <v>6099.483</v>
      </c>
      <c r="J48" t="n">
        <v>6123.689</v>
      </c>
      <c r="K48" t="n">
        <v>5998.52</v>
      </c>
      <c r="L48" t="n">
        <v>5988.515</v>
      </c>
      <c r="M48" t="n">
        <v>5964.746</v>
      </c>
      <c r="N48" t="n">
        <v>5948.566</v>
      </c>
      <c r="O48" t="n">
        <v>5904.48</v>
      </c>
      <c r="P48" t="n">
        <v>5818.265</v>
      </c>
      <c r="Q48" t="n">
        <v>5820.068</v>
      </c>
      <c r="R48" t="n">
        <v>5742.7</v>
      </c>
      <c r="S48" t="n">
        <v>5725.792</v>
      </c>
      <c r="T48" t="n">
        <v>5670.272</v>
      </c>
      <c r="U48" t="n">
        <v>5846.596</v>
      </c>
      <c r="V48" t="n">
        <v>6047.546</v>
      </c>
    </row>
    <row r="49">
      <c r="A49" s="1" t="inlineStr">
        <is>
          <t>ส่วนของเจ้าของรวม</t>
        </is>
      </c>
      <c r="B49" t="n">
        <v>2123.641</v>
      </c>
      <c r="C49" t="n">
        <v>1971.678</v>
      </c>
      <c r="D49" t="n">
        <v>1803.968</v>
      </c>
      <c r="E49" t="n">
        <v>1630.456</v>
      </c>
      <c r="F49" t="n">
        <v>1559.096</v>
      </c>
      <c r="G49" t="n">
        <v>1450.778</v>
      </c>
      <c r="H49" t="n">
        <v>1397.127</v>
      </c>
      <c r="I49" t="n">
        <v>1387.521</v>
      </c>
      <c r="J49" t="n">
        <v>1663.502</v>
      </c>
      <c r="K49" t="n">
        <v>1790.99</v>
      </c>
      <c r="L49" t="n">
        <v>1954.239</v>
      </c>
      <c r="M49" t="n">
        <v>1971.439</v>
      </c>
      <c r="N49" t="n">
        <v>2068.992</v>
      </c>
      <c r="O49" t="n">
        <v>2230.144</v>
      </c>
      <c r="P49" t="n">
        <v>2265.982</v>
      </c>
      <c r="Q49" t="n">
        <v>2323.047</v>
      </c>
      <c r="R49" t="n">
        <v>2483.822</v>
      </c>
      <c r="S49" t="n">
        <v>2677.681</v>
      </c>
      <c r="T49" t="n">
        <v>2655.985</v>
      </c>
      <c r="U49" t="n">
        <v>2629.967</v>
      </c>
      <c r="V49" t="n">
        <v>2797.22</v>
      </c>
    </row>
    <row r="50">
      <c r="A50" s="1" t="inlineStr">
        <is>
          <t>หนี้สินรวม</t>
        </is>
      </c>
      <c r="B50" t="n">
        <v>4618.433</v>
      </c>
      <c r="C50" t="n">
        <v>4594.658</v>
      </c>
      <c r="D50" t="n">
        <v>4632.209</v>
      </c>
      <c r="E50" t="n">
        <v>4705.137</v>
      </c>
      <c r="F50" t="n">
        <v>4743.919</v>
      </c>
      <c r="G50" t="n">
        <v>4718.659</v>
      </c>
      <c r="H50" t="n">
        <v>4704.523</v>
      </c>
      <c r="I50" t="n">
        <v>4711.963</v>
      </c>
      <c r="J50" t="n">
        <v>4460.186</v>
      </c>
      <c r="K50" t="n">
        <v>4207.531</v>
      </c>
      <c r="L50" t="n">
        <v>4034.276</v>
      </c>
      <c r="M50" t="n">
        <v>3993.306</v>
      </c>
      <c r="N50" t="n">
        <v>3879.574</v>
      </c>
      <c r="O50" t="n">
        <v>3674.337</v>
      </c>
      <c r="P50" t="n">
        <v>3552.284</v>
      </c>
      <c r="Q50" t="n">
        <v>3497.021</v>
      </c>
      <c r="R50" t="n">
        <v>3258.879</v>
      </c>
      <c r="S50" t="n">
        <v>3048.11</v>
      </c>
      <c r="T50" t="n">
        <v>3014.287</v>
      </c>
      <c r="U50" t="n">
        <v>3216.629</v>
      </c>
      <c r="V50" t="n">
        <v>3250.326</v>
      </c>
    </row>
    <row r="51">
      <c r="A51" s="7" t="inlineStr">
        <is>
          <t>■ SHANG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</row>
    <row r="52">
      <c r="A52" s="1" t="inlineStr">
        <is>
          <t>ลูกหนี้การค้า</t>
        </is>
      </c>
      <c r="B52" t="n">
        <v>17.979</v>
      </c>
      <c r="C52" t="n">
        <v>9.619999999999999</v>
      </c>
      <c r="D52" t="n">
        <v>5.633</v>
      </c>
      <c r="E52" t="n">
        <v>12.294</v>
      </c>
      <c r="F52" t="n">
        <v>28.897</v>
      </c>
      <c r="G52" t="n">
        <v>29.831</v>
      </c>
      <c r="H52" t="n">
        <v>43.417</v>
      </c>
      <c r="I52" t="n">
        <v>76.648</v>
      </c>
      <c r="J52" t="n">
        <v>88.569</v>
      </c>
      <c r="K52" t="n">
        <v>56.896</v>
      </c>
      <c r="L52" t="n">
        <v>42.509</v>
      </c>
      <c r="M52" t="n">
        <v>74.08199999999999</v>
      </c>
      <c r="N52" t="n">
        <v>75.488</v>
      </c>
      <c r="O52" t="n">
        <v>73.267</v>
      </c>
      <c r="P52" t="n">
        <v>43.853</v>
      </c>
      <c r="Q52" t="n">
        <v>65.036</v>
      </c>
      <c r="R52" t="n">
        <v>80.06399999999999</v>
      </c>
      <c r="S52" t="n">
        <v>61.376</v>
      </c>
      <c r="T52" t="n">
        <v>42.973</v>
      </c>
      <c r="U52" t="n">
        <v>57.888</v>
      </c>
      <c r="V52" t="n">
        <v>90.01300000000001</v>
      </c>
    </row>
    <row r="53">
      <c r="A53" s="1" t="inlineStr">
        <is>
          <t>สินค้าคงเหลือ</t>
        </is>
      </c>
      <c r="B53" t="n">
        <v>24.835</v>
      </c>
      <c r="C53" t="n">
        <v>23.251</v>
      </c>
      <c r="D53" t="n">
        <v>22.663</v>
      </c>
      <c r="E53" t="n">
        <v>20.033</v>
      </c>
      <c r="F53" t="n">
        <v>20.297</v>
      </c>
      <c r="G53" t="n">
        <v>19.427</v>
      </c>
      <c r="H53" t="n">
        <v>19.074</v>
      </c>
      <c r="I53" t="n">
        <v>18</v>
      </c>
      <c r="J53" t="n">
        <v>24.184</v>
      </c>
      <c r="K53" t="n">
        <v>20.793</v>
      </c>
      <c r="L53" t="n">
        <v>23.989</v>
      </c>
      <c r="M53" t="n">
        <v>24.112</v>
      </c>
      <c r="N53" t="n">
        <v>31.04</v>
      </c>
      <c r="O53" t="n">
        <v>25.57</v>
      </c>
      <c r="P53" t="n">
        <v>24.049</v>
      </c>
      <c r="Q53" t="n">
        <v>23.925</v>
      </c>
      <c r="R53" t="n">
        <v>28.732</v>
      </c>
      <c r="S53" t="n">
        <v>27.765</v>
      </c>
      <c r="T53" t="n">
        <v>27.609</v>
      </c>
      <c r="U53" t="n">
        <v>25.864</v>
      </c>
      <c r="V53" t="n">
        <v>27.883</v>
      </c>
    </row>
    <row r="54">
      <c r="A54" s="1" t="inlineStr">
        <is>
          <t>เจ้าหนี้การค้า</t>
        </is>
      </c>
      <c r="B54" t="n">
        <v>97.71299999999999</v>
      </c>
      <c r="C54" t="n">
        <v>89.02800000000001</v>
      </c>
      <c r="D54" t="n">
        <v>74.083</v>
      </c>
      <c r="E54" t="n">
        <v>74.58799999999999</v>
      </c>
      <c r="F54" t="n">
        <v>99.652</v>
      </c>
      <c r="G54" t="n">
        <v>74.864</v>
      </c>
      <c r="H54" t="n">
        <v>90.167</v>
      </c>
      <c r="I54" t="n">
        <v>113.972</v>
      </c>
      <c r="J54" t="n">
        <v>192.481</v>
      </c>
      <c r="K54" t="n">
        <v>139.563</v>
      </c>
      <c r="L54" t="n">
        <v>143.965</v>
      </c>
      <c r="M54" t="n">
        <v>156.461</v>
      </c>
      <c r="N54" t="n">
        <v>222.811</v>
      </c>
      <c r="O54" t="n">
        <v>176.546</v>
      </c>
      <c r="P54" t="n">
        <v>155.739</v>
      </c>
      <c r="Q54" t="n">
        <v>164.766</v>
      </c>
      <c r="R54" t="n">
        <v>234.957</v>
      </c>
      <c r="S54" t="n">
        <v>162.319</v>
      </c>
      <c r="T54" t="n">
        <v>137.849</v>
      </c>
      <c r="U54" t="n">
        <v>132.189</v>
      </c>
      <c r="V54" t="n">
        <v>259.24</v>
      </c>
    </row>
    <row r="55">
      <c r="A55" s="1" t="inlineStr">
        <is>
          <t>สินทรัพย์รวม</t>
        </is>
      </c>
      <c r="B55" t="n">
        <v>7678.673</v>
      </c>
      <c r="C55" t="n">
        <v>7704.899</v>
      </c>
      <c r="D55" t="n">
        <v>7795.243</v>
      </c>
      <c r="E55" t="n">
        <v>7761.689</v>
      </c>
      <c r="F55" t="n">
        <v>7577.451</v>
      </c>
      <c r="G55" t="n">
        <v>7445.292</v>
      </c>
      <c r="H55" t="n">
        <v>7561.836</v>
      </c>
      <c r="I55" t="n">
        <v>7787.865</v>
      </c>
      <c r="J55" t="n">
        <v>7809.042</v>
      </c>
      <c r="K55" t="n">
        <v>7829.609</v>
      </c>
      <c r="L55" t="n">
        <v>7961.29</v>
      </c>
      <c r="M55" t="n">
        <v>8028.141</v>
      </c>
      <c r="N55" t="n">
        <v>7848.676</v>
      </c>
      <c r="O55" t="n">
        <v>8086.747</v>
      </c>
      <c r="P55" t="n">
        <v>8060.359</v>
      </c>
      <c r="Q55" t="n">
        <v>8007.153</v>
      </c>
      <c r="R55" t="n">
        <v>8067.434</v>
      </c>
      <c r="S55" t="n">
        <v>8195.463</v>
      </c>
      <c r="T55" t="n">
        <v>7984.993</v>
      </c>
      <c r="U55" t="n">
        <v>8034.036</v>
      </c>
      <c r="V55" t="n">
        <v>8261.976000000001</v>
      </c>
    </row>
    <row r="56">
      <c r="A56" s="1" t="inlineStr">
        <is>
          <t>ส่วนของเจ้าของรวม</t>
        </is>
      </c>
      <c r="B56" t="n">
        <v>7381.006</v>
      </c>
      <c r="C56" t="n">
        <v>7425.499</v>
      </c>
      <c r="D56" t="n">
        <v>7512.439</v>
      </c>
      <c r="E56" t="n">
        <v>7481.804</v>
      </c>
      <c r="F56" t="n">
        <v>7251.166</v>
      </c>
      <c r="G56" t="n">
        <v>7131.687</v>
      </c>
      <c r="H56" t="n">
        <v>7206.907</v>
      </c>
      <c r="I56" t="n">
        <v>7379.094</v>
      </c>
      <c r="J56" t="n">
        <v>7292.631</v>
      </c>
      <c r="K56" t="n">
        <v>7434.763</v>
      </c>
      <c r="L56" t="n">
        <v>7548.144</v>
      </c>
      <c r="M56" t="n">
        <v>7575.094</v>
      </c>
      <c r="N56" t="n">
        <v>7298.278</v>
      </c>
      <c r="O56" t="n">
        <v>7610.423</v>
      </c>
      <c r="P56" t="n">
        <v>7600.249</v>
      </c>
      <c r="Q56" t="n">
        <v>7459.225</v>
      </c>
      <c r="R56" t="n">
        <v>7439.227</v>
      </c>
      <c r="S56" t="n">
        <v>7595.093</v>
      </c>
      <c r="T56" t="n">
        <v>7468.704</v>
      </c>
      <c r="U56" t="n">
        <v>7505.949</v>
      </c>
      <c r="V56" t="n">
        <v>7509.094</v>
      </c>
    </row>
    <row r="57">
      <c r="A57" s="1" t="inlineStr">
        <is>
          <t>หนี้สินรวม</t>
        </is>
      </c>
      <c r="B57" t="n">
        <v>297.667</v>
      </c>
      <c r="C57" t="n">
        <v>279.4</v>
      </c>
      <c r="D57" t="n">
        <v>282.804</v>
      </c>
      <c r="E57" t="n">
        <v>279.885</v>
      </c>
      <c r="F57" t="n">
        <v>326.285</v>
      </c>
      <c r="G57" t="n">
        <v>313.605</v>
      </c>
      <c r="H57" t="n">
        <v>354.929</v>
      </c>
      <c r="I57" t="n">
        <v>408.771</v>
      </c>
      <c r="J57" t="n">
        <v>516.4109999999999</v>
      </c>
      <c r="K57" t="n">
        <v>394.846</v>
      </c>
      <c r="L57" t="n">
        <v>413.146</v>
      </c>
      <c r="M57" t="n">
        <v>453.047</v>
      </c>
      <c r="N57" t="n">
        <v>550.397</v>
      </c>
      <c r="O57" t="n">
        <v>476.324</v>
      </c>
      <c r="P57" t="n">
        <v>460.11</v>
      </c>
      <c r="Q57" t="n">
        <v>547.928</v>
      </c>
      <c r="R57" t="n">
        <v>628.207</v>
      </c>
      <c r="S57" t="n">
        <v>600.37</v>
      </c>
      <c r="T57" t="n">
        <v>516.289</v>
      </c>
      <c r="U57" t="n">
        <v>528.087</v>
      </c>
      <c r="V57" t="n">
        <v>752.8819999999999</v>
      </c>
    </row>
    <row r="58">
      <c r="A58" s="7" t="inlineStr">
        <is>
          <t>■ SHR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</row>
    <row r="59">
      <c r="A59" s="1" t="inlineStr">
        <is>
          <t>ลูกหนี้การค้า</t>
        </is>
      </c>
      <c r="B59" t="n">
        <v>52.299</v>
      </c>
      <c r="C59" t="n">
        <v>113.022</v>
      </c>
      <c r="D59" t="n">
        <v>116.663</v>
      </c>
      <c r="E59" t="n">
        <v>212.509</v>
      </c>
      <c r="F59" t="n">
        <v>387.226</v>
      </c>
      <c r="G59" t="n">
        <v>392.217</v>
      </c>
      <c r="H59" t="n">
        <v>439.668</v>
      </c>
      <c r="I59" t="n">
        <v>464.506</v>
      </c>
      <c r="J59" t="n">
        <v>501.356</v>
      </c>
      <c r="K59" t="n">
        <v>437.075</v>
      </c>
      <c r="L59" t="n">
        <v>443.983</v>
      </c>
      <c r="M59" t="n">
        <v>386.003</v>
      </c>
      <c r="N59" t="n">
        <v>534.556</v>
      </c>
      <c r="O59" t="n">
        <v>480.556</v>
      </c>
      <c r="P59" t="n">
        <v>343.433</v>
      </c>
      <c r="Q59" t="n">
        <v>316.165</v>
      </c>
      <c r="R59" t="n">
        <v>475.753</v>
      </c>
      <c r="S59" t="n">
        <v>502.606</v>
      </c>
      <c r="T59" t="n">
        <v>331.082</v>
      </c>
      <c r="U59" t="n">
        <v>361.827</v>
      </c>
      <c r="V59" t="n">
        <v>406.258</v>
      </c>
    </row>
    <row r="60">
      <c r="A60" s="1" t="inlineStr">
        <is>
          <t>สินค้าคงเหลือ</t>
        </is>
      </c>
      <c r="B60" t="n">
        <v>175.762</v>
      </c>
      <c r="C60" t="n">
        <v>184.864</v>
      </c>
      <c r="D60" t="n">
        <v>165.008</v>
      </c>
      <c r="E60" t="n">
        <v>168.977</v>
      </c>
      <c r="F60" t="n">
        <v>197.777</v>
      </c>
      <c r="G60" t="n">
        <v>194.508</v>
      </c>
      <c r="H60" t="n">
        <v>205.79</v>
      </c>
      <c r="I60" t="n">
        <v>214.535</v>
      </c>
      <c r="J60" t="n">
        <v>228.506</v>
      </c>
      <c r="K60" t="n">
        <v>222.848</v>
      </c>
      <c r="L60" t="n">
        <v>233.082</v>
      </c>
      <c r="M60" t="n">
        <v>230.417</v>
      </c>
      <c r="N60" t="n">
        <v>230.951</v>
      </c>
      <c r="O60" t="n">
        <v>219.271</v>
      </c>
      <c r="P60" t="n">
        <v>220.927</v>
      </c>
      <c r="Q60" t="n">
        <v>199.997</v>
      </c>
      <c r="R60" t="n">
        <v>232.259</v>
      </c>
      <c r="S60" t="n">
        <v>223.595</v>
      </c>
      <c r="T60" t="n">
        <v>220.973</v>
      </c>
      <c r="U60" t="n">
        <v>231.174</v>
      </c>
      <c r="V60" t="n">
        <v>244.432</v>
      </c>
    </row>
    <row r="61">
      <c r="A61" s="1" t="inlineStr">
        <is>
          <t>เจ้าหนี้การค้า</t>
        </is>
      </c>
      <c r="B61" t="n">
        <v>587.285</v>
      </c>
      <c r="C61" t="n">
        <v>1434.284</v>
      </c>
      <c r="D61" t="n">
        <v>1311.748</v>
      </c>
      <c r="E61" t="n">
        <v>1503.368</v>
      </c>
      <c r="F61" t="n">
        <v>1634.569</v>
      </c>
      <c r="G61" t="n">
        <v>1603.991</v>
      </c>
      <c r="H61" t="n">
        <v>1687.776</v>
      </c>
      <c r="I61" t="n">
        <v>1535.406</v>
      </c>
      <c r="J61" t="n">
        <v>1710.634</v>
      </c>
      <c r="K61" t="n">
        <v>1726.671</v>
      </c>
      <c r="L61" t="n">
        <v>1764.509</v>
      </c>
      <c r="M61" t="n">
        <v>1719.383</v>
      </c>
      <c r="N61" t="n">
        <v>1666.948</v>
      </c>
      <c r="O61" t="n">
        <v>1545.236</v>
      </c>
      <c r="P61" t="n">
        <v>1017.739</v>
      </c>
      <c r="Q61" t="n">
        <v>934.721</v>
      </c>
      <c r="R61" t="n">
        <v>975.127</v>
      </c>
      <c r="S61" t="n">
        <v>865.016</v>
      </c>
      <c r="T61" t="n">
        <v>819.563</v>
      </c>
      <c r="U61" t="n">
        <v>807.788</v>
      </c>
      <c r="V61" t="n">
        <v>1009.863</v>
      </c>
    </row>
    <row r="62">
      <c r="A62" s="1" t="inlineStr">
        <is>
          <t>สินทรัพย์รวม</t>
        </is>
      </c>
      <c r="B62" t="n">
        <v>27117.268</v>
      </c>
      <c r="C62" t="n">
        <v>36754.953</v>
      </c>
      <c r="D62" t="n">
        <v>37165.42</v>
      </c>
      <c r="E62" t="n">
        <v>38408.151</v>
      </c>
      <c r="F62" t="n">
        <v>37214.118</v>
      </c>
      <c r="G62" t="n">
        <v>36458.411</v>
      </c>
      <c r="H62" t="n">
        <v>37047.483</v>
      </c>
      <c r="I62" t="n">
        <v>38433.024</v>
      </c>
      <c r="J62" t="n">
        <v>36449.599</v>
      </c>
      <c r="K62" t="n">
        <v>36139.858</v>
      </c>
      <c r="L62" t="n">
        <v>38010.378</v>
      </c>
      <c r="M62" t="n">
        <v>38311.374</v>
      </c>
      <c r="N62" t="n">
        <v>37722.704</v>
      </c>
      <c r="O62" t="n">
        <v>39325.93</v>
      </c>
      <c r="P62" t="n">
        <v>38844.783</v>
      </c>
      <c r="Q62" t="n">
        <v>35396.49</v>
      </c>
      <c r="R62" t="n">
        <v>36325.359</v>
      </c>
      <c r="S62" t="n">
        <v>36612.798</v>
      </c>
      <c r="T62" t="n">
        <v>35934.539</v>
      </c>
      <c r="U62" t="n">
        <v>35409.916</v>
      </c>
      <c r="V62" t="n">
        <v>33003.412</v>
      </c>
    </row>
    <row r="63">
      <c r="A63" s="1" t="inlineStr">
        <is>
          <t>ส่วนของเจ้าของรวม</t>
        </is>
      </c>
      <c r="B63" t="n">
        <v>15675.937</v>
      </c>
      <c r="C63" t="n">
        <v>15954.945</v>
      </c>
      <c r="D63" t="n">
        <v>15819.261</v>
      </c>
      <c r="E63" t="n">
        <v>16238.608</v>
      </c>
      <c r="F63" t="n">
        <v>15881.858</v>
      </c>
      <c r="G63" t="n">
        <v>15549.686</v>
      </c>
      <c r="H63" t="n">
        <v>15997.386</v>
      </c>
      <c r="I63" t="n">
        <v>17083.078</v>
      </c>
      <c r="J63" t="n">
        <v>16019.169</v>
      </c>
      <c r="K63" t="n">
        <v>15973.516</v>
      </c>
      <c r="L63" t="n">
        <v>16580.939</v>
      </c>
      <c r="M63" t="n">
        <v>16834.999</v>
      </c>
      <c r="N63" t="n">
        <v>16091.047</v>
      </c>
      <c r="O63" t="n">
        <v>17091.248</v>
      </c>
      <c r="P63" t="n">
        <v>17119.998</v>
      </c>
      <c r="Q63" t="n">
        <v>15365.781</v>
      </c>
      <c r="R63" t="n">
        <v>15925.838</v>
      </c>
      <c r="S63" t="n">
        <v>16235.452</v>
      </c>
      <c r="T63" t="n">
        <v>15859.504</v>
      </c>
      <c r="U63" t="n">
        <v>15649.4</v>
      </c>
      <c r="V63" t="n">
        <v>13373.217</v>
      </c>
    </row>
    <row r="64">
      <c r="A64" s="1" t="inlineStr">
        <is>
          <t>หนี้สินรวม</t>
        </is>
      </c>
      <c r="B64" t="n">
        <v>11441.331</v>
      </c>
      <c r="C64" t="n">
        <v>20800.008</v>
      </c>
      <c r="D64" t="n">
        <v>21346.159</v>
      </c>
      <c r="E64" t="n">
        <v>22169.543</v>
      </c>
      <c r="F64" t="n">
        <v>21332.26</v>
      </c>
      <c r="G64" t="n">
        <v>20908.725</v>
      </c>
      <c r="H64" t="n">
        <v>21050.097</v>
      </c>
      <c r="I64" t="n">
        <v>21349.946</v>
      </c>
      <c r="J64" t="n">
        <v>20430.43</v>
      </c>
      <c r="K64" t="n">
        <v>20166.342</v>
      </c>
      <c r="L64" t="n">
        <v>21429.439</v>
      </c>
      <c r="M64" t="n">
        <v>21476.375</v>
      </c>
      <c r="N64" t="n">
        <v>21631.656</v>
      </c>
      <c r="O64" t="n">
        <v>22234.682</v>
      </c>
      <c r="P64" t="n">
        <v>21724.785</v>
      </c>
      <c r="Q64" t="n">
        <v>20030.709</v>
      </c>
      <c r="R64" t="n">
        <v>20399.521</v>
      </c>
      <c r="S64" t="n">
        <v>20377.346</v>
      </c>
      <c r="T64" t="n">
        <v>20075.035</v>
      </c>
      <c r="U64" t="n">
        <v>19760.516</v>
      </c>
      <c r="V64" t="n">
        <v>19630.194</v>
      </c>
    </row>
    <row r="65">
      <c r="A65" s="7" t="inlineStr">
        <is>
          <t>■ VRANDA</t>
        </is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</row>
    <row r="66">
      <c r="A66" s="1" t="inlineStr">
        <is>
          <t>ลูกหนี้การค้า</t>
        </is>
      </c>
      <c r="B66" t="n">
        <v>32.556</v>
      </c>
      <c r="C66" t="n">
        <v>25.334</v>
      </c>
      <c r="D66" t="n">
        <v>26.575</v>
      </c>
      <c r="E66" t="n">
        <v>34.836</v>
      </c>
      <c r="F66" t="n">
        <v>42.684</v>
      </c>
      <c r="G66" t="n">
        <v>36.444</v>
      </c>
      <c r="H66" t="n">
        <v>40.884</v>
      </c>
      <c r="I66" t="n">
        <v>39.706</v>
      </c>
      <c r="J66" t="n">
        <v>52.742</v>
      </c>
      <c r="K66" t="n">
        <v>43.357</v>
      </c>
      <c r="L66" t="n">
        <v>37.041</v>
      </c>
      <c r="M66" t="n">
        <v>44.533</v>
      </c>
      <c r="N66" t="n">
        <v>55.106</v>
      </c>
      <c r="O66" t="n">
        <v>49.507</v>
      </c>
      <c r="P66" t="n">
        <v>52.801</v>
      </c>
      <c r="Q66" t="n">
        <v>38.157</v>
      </c>
      <c r="R66" t="n">
        <v>55.427</v>
      </c>
      <c r="S66" t="n">
        <v>57.227</v>
      </c>
      <c r="T66" t="n">
        <v>34.675</v>
      </c>
      <c r="U66" t="n">
        <v>50.23</v>
      </c>
      <c r="V66" t="n">
        <v>52.939</v>
      </c>
    </row>
    <row r="67">
      <c r="A67" s="1" t="inlineStr">
        <is>
          <t>สินค้าคงเหลือ</t>
        </is>
      </c>
      <c r="B67" t="n">
        <v>22.856</v>
      </c>
      <c r="C67" t="n">
        <v>20.845</v>
      </c>
      <c r="D67" t="n">
        <v>21.035</v>
      </c>
      <c r="E67" t="n">
        <v>20.024</v>
      </c>
      <c r="F67" t="n">
        <v>18.876</v>
      </c>
      <c r="G67" t="n">
        <v>17.516</v>
      </c>
      <c r="H67" t="n">
        <v>17.115</v>
      </c>
      <c r="I67" t="n">
        <v>17.758</v>
      </c>
      <c r="J67" t="n">
        <v>19.872</v>
      </c>
      <c r="K67" t="n">
        <v>18.562</v>
      </c>
      <c r="L67" t="n">
        <v>18.568</v>
      </c>
      <c r="M67" t="n">
        <v>17.729</v>
      </c>
      <c r="N67" t="n">
        <v>17.401</v>
      </c>
      <c r="O67" t="n">
        <v>14.345</v>
      </c>
      <c r="P67" t="n">
        <v>13.825</v>
      </c>
      <c r="Q67" t="n">
        <v>13.835</v>
      </c>
      <c r="R67" t="n">
        <v>16.851</v>
      </c>
      <c r="S67" t="n">
        <v>15.662</v>
      </c>
      <c r="T67" t="n">
        <v>15.557</v>
      </c>
      <c r="U67" t="n">
        <v>15.963</v>
      </c>
      <c r="V67" t="n">
        <v>20.38</v>
      </c>
    </row>
    <row r="68">
      <c r="A68" s="1" t="inlineStr">
        <is>
          <t>เจ้าหนี้การค้า</t>
        </is>
      </c>
      <c r="B68" t="n">
        <v>260.916</v>
      </c>
      <c r="C68" t="n">
        <v>180.669</v>
      </c>
      <c r="D68" t="n">
        <v>176.007</v>
      </c>
      <c r="E68" t="n">
        <v>174.968</v>
      </c>
      <c r="F68" t="n">
        <v>184.913</v>
      </c>
      <c r="G68" t="n">
        <v>163.586</v>
      </c>
      <c r="H68" t="n">
        <v>166.155</v>
      </c>
      <c r="I68" t="n">
        <v>161.027</v>
      </c>
      <c r="J68" t="n">
        <v>196.33</v>
      </c>
      <c r="K68" t="n">
        <v>185.14</v>
      </c>
      <c r="L68" t="n">
        <v>185.093</v>
      </c>
      <c r="M68" t="n">
        <v>221.45</v>
      </c>
      <c r="N68" t="n">
        <v>280.552</v>
      </c>
      <c r="O68" t="n">
        <v>300.211</v>
      </c>
      <c r="P68" t="n">
        <v>323.586</v>
      </c>
      <c r="Q68" t="n">
        <v>331.171</v>
      </c>
      <c r="R68" t="n">
        <v>440.911</v>
      </c>
      <c r="S68" t="n">
        <v>363.318</v>
      </c>
      <c r="T68" t="n">
        <v>269.551</v>
      </c>
      <c r="U68" t="n">
        <v>245.158</v>
      </c>
      <c r="V68" t="n">
        <v>238.739</v>
      </c>
    </row>
    <row r="69">
      <c r="A69" s="1" t="inlineStr">
        <is>
          <t>สินทรัพย์รวม</t>
        </is>
      </c>
      <c r="B69" t="n">
        <v>5353.744</v>
      </c>
      <c r="C69" t="n">
        <v>5081.931</v>
      </c>
      <c r="D69" t="n">
        <v>4908.636</v>
      </c>
      <c r="E69" t="n">
        <v>4850.744</v>
      </c>
      <c r="F69" t="n">
        <v>4795.433</v>
      </c>
      <c r="G69" t="n">
        <v>4707.634</v>
      </c>
      <c r="H69" t="n">
        <v>4631.572</v>
      </c>
      <c r="I69" t="n">
        <v>4558.176</v>
      </c>
      <c r="J69" t="n">
        <v>4740.703</v>
      </c>
      <c r="K69" t="n">
        <v>4656.829</v>
      </c>
      <c r="L69" t="n">
        <v>4621.775</v>
      </c>
      <c r="M69" t="n">
        <v>4701.844</v>
      </c>
      <c r="N69" t="n">
        <v>4803.484</v>
      </c>
      <c r="O69" t="n">
        <v>4873.268</v>
      </c>
      <c r="P69" t="n">
        <v>5061.003</v>
      </c>
      <c r="Q69" t="n">
        <v>5255.116</v>
      </c>
      <c r="R69" t="n">
        <v>5614.758</v>
      </c>
      <c r="S69" t="n">
        <v>5699.147</v>
      </c>
      <c r="T69" t="n">
        <v>5664.051</v>
      </c>
      <c r="U69" t="n">
        <v>5766.065</v>
      </c>
      <c r="V69" t="n">
        <v>5770.154</v>
      </c>
    </row>
    <row r="70">
      <c r="A70" s="1" t="inlineStr">
        <is>
          <t>ส่วนของเจ้าของรวม</t>
        </is>
      </c>
      <c r="B70" t="n">
        <v>2069.246</v>
      </c>
      <c r="C70" t="n">
        <v>2034.573</v>
      </c>
      <c r="D70" t="n">
        <v>1967.246</v>
      </c>
      <c r="E70" t="n">
        <v>1917.438</v>
      </c>
      <c r="F70" t="n">
        <v>1930.028</v>
      </c>
      <c r="G70" t="n">
        <v>1908.669</v>
      </c>
      <c r="H70" t="n">
        <v>1910.388</v>
      </c>
      <c r="I70" t="n">
        <v>1912.418</v>
      </c>
      <c r="J70" t="n">
        <v>1931.141</v>
      </c>
      <c r="K70" t="n">
        <v>1938.213</v>
      </c>
      <c r="L70" t="n">
        <v>1923.442</v>
      </c>
      <c r="M70" t="n">
        <v>1903.09</v>
      </c>
      <c r="N70" t="n">
        <v>1787.905</v>
      </c>
      <c r="O70" t="n">
        <v>1824.206</v>
      </c>
      <c r="P70" t="n">
        <v>1824.873</v>
      </c>
      <c r="Q70" t="n">
        <v>1829.959</v>
      </c>
      <c r="R70" t="n">
        <v>1839.092</v>
      </c>
      <c r="S70" t="n">
        <v>1881.959</v>
      </c>
      <c r="T70" t="n">
        <v>1853.88</v>
      </c>
      <c r="U70" t="n">
        <v>1855.722</v>
      </c>
      <c r="V70" t="n">
        <v>1894.268</v>
      </c>
    </row>
    <row r="71">
      <c r="A71" s="1" t="inlineStr">
        <is>
          <t>หนี้สินรวม</t>
        </is>
      </c>
      <c r="B71" t="n">
        <v>3284.498</v>
      </c>
      <c r="C71" t="n">
        <v>3047.358</v>
      </c>
      <c r="D71" t="n">
        <v>2941.39</v>
      </c>
      <c r="E71" t="n">
        <v>2933.306</v>
      </c>
      <c r="F71" t="n">
        <v>2865.405</v>
      </c>
      <c r="G71" t="n">
        <v>2798.965</v>
      </c>
      <c r="H71" t="n">
        <v>2721.184</v>
      </c>
      <c r="I71" t="n">
        <v>2645.758</v>
      </c>
      <c r="J71" t="n">
        <v>2809.562</v>
      </c>
      <c r="K71" t="n">
        <v>2718.616</v>
      </c>
      <c r="L71" t="n">
        <v>2698.333</v>
      </c>
      <c r="M71" t="n">
        <v>2798.754</v>
      </c>
      <c r="N71" t="n">
        <v>3015.579</v>
      </c>
      <c r="O71" t="n">
        <v>3049.062</v>
      </c>
      <c r="P71" t="n">
        <v>3236.13</v>
      </c>
      <c r="Q71" t="n">
        <v>3425.157</v>
      </c>
      <c r="R71" t="n">
        <v>3775.666</v>
      </c>
      <c r="S71" t="n">
        <v>3817.188</v>
      </c>
      <c r="T71" t="n">
        <v>3810.171</v>
      </c>
      <c r="U71" t="n">
        <v>3910.343</v>
      </c>
      <c r="V71" t="n">
        <v>3875.886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TOUR — สมุดงานรวมทุกบริษัท (สูตรสด) 5 ปี × 4 ไตรมาส + สรุปรายปี</t>
        </is>
      </c>
    </row>
    <row r="2">
      <c r="A2" t="inlineStr"/>
    </row>
    <row r="3">
      <c r="A3" t="inlineStr">
        <is>
          <t>ชีตในไฟล์:</t>
        </is>
      </c>
    </row>
    <row r="4">
      <c r="A4" t="inlineStr">
        <is>
          <t xml:space="preserve">  Summary_FY       อัตราส่วนรายปี FY2568 ทุกบริษัท (=สูตร อ้าง FY_Inputs)</t>
        </is>
      </c>
    </row>
    <row r="5">
      <c r="A5" t="inlineStr">
        <is>
          <t xml:space="preserve">  FY_Inputs        ตัวเลขดิบรายปี (ช่องเหลือง แก้ได้)</t>
        </is>
      </c>
    </row>
    <row r="6">
      <c r="A6" t="inlineStr">
        <is>
          <t xml:space="preserve">  Quarterly_Ratios 7 ตัวชี้วัด+GM+D/E × 20 ไตรมาส ทุกบริษัท (=สูตร อ้าง IS_Flow/BS_Timeline)</t>
        </is>
      </c>
    </row>
    <row r="7">
      <c r="A7" t="inlineStr">
        <is>
          <t xml:space="preserve">  IS_Flow          งบกำไรขาดทุน 3 เดือน (Q4 = =FY−Q1−Q2−Q3)</t>
        </is>
      </c>
    </row>
    <row r="8">
      <c r="A8" t="inlineStr">
        <is>
          <t xml:space="preserve">  BS_Timeline      ยอดคงเหลือ 21 จุดเวลา (chain averaging)</t>
        </is>
      </c>
    </row>
    <row r="9">
      <c r="A9" t="inlineStr"/>
    </row>
    <row r="10">
      <c r="A10" t="inlineStr">
        <is>
          <t>สีของช่อง:  เหลือง = เติมตัวเลขดิบ (แก้ได้)   เขียว = สูตรสด   ส้ม = Q4 (สูตรลบ)</t>
        </is>
      </c>
    </row>
    <row r="11">
      <c r="A11" t="inlineStr">
        <is>
          <t>แต่ละบริษัทมีบล็อกของตัวเอง (แถวขึ้นต้น ■ TICKER) เรียงต่อกันในแนวตั้ง</t>
        </is>
      </c>
    </row>
    <row r="12">
      <c r="A12" t="inlineStr"/>
    </row>
    <row r="13">
      <c r="A13" t="inlineStr">
        <is>
          <t>สูตร (ฐาน CFA; งบดุลเฉลี่ยแบบ chain ปลายไตรมาสก่อน→ปลายไตรมาสนี้; วัน 90/91/92/92; รายปี 365):</t>
        </is>
      </c>
    </row>
    <row r="14">
      <c r="A14" t="inlineStr">
        <is>
          <t xml:space="preserve">  NPM = กำไรสุทธิ / รายได้รวม</t>
        </is>
      </c>
    </row>
    <row r="15">
      <c r="A15" t="inlineStr">
        <is>
          <t xml:space="preserve">  Gross Margin = (รายได้ดำเนินงาน − ต้นทุนขาย) / รายได้ดำเนินงาน   [รายได้ดำเนินงาน = รายได้รวม − รายได้อื่น]</t>
        </is>
      </c>
    </row>
    <row r="16">
      <c r="A16" t="inlineStr">
        <is>
          <t xml:space="preserve">  DSO = เฉลี่ยลูกหนี้การค้า / รายได้รวม × วัน</t>
        </is>
      </c>
    </row>
    <row r="17">
      <c r="A17" t="inlineStr">
        <is>
          <t xml:space="preserve">  DIO = เฉลี่ยสินค้าคงเหลือ / ต้นทุนขาย × วัน</t>
        </is>
      </c>
    </row>
    <row r="18">
      <c r="A18" t="inlineStr">
        <is>
          <t xml:space="preserve">  DPO = เฉลี่ยเจ้าหนี้การค้า / ต้นทุนขาย × วัน</t>
        </is>
      </c>
    </row>
    <row r="19">
      <c r="A19" t="inlineStr">
        <is>
          <t xml:space="preserve">  CCC = DSO + DIO − DPO</t>
        </is>
      </c>
    </row>
    <row r="20">
      <c r="A20" t="inlineStr">
        <is>
          <t xml:space="preserve">  ROA = กำไรสุทธิ / เฉลี่ยสินทรัพย์รวม     ROE = กำไรสุทธิ / เฉลี่ยส่วนของเจ้าของ</t>
        </is>
      </c>
    </row>
    <row r="21">
      <c r="A21" t="inlineStr">
        <is>
          <t xml:space="preserve">  D/E = หนี้สินรวม / ส่วนของเจ้าของรวม (ยอดปลายงวด)</t>
        </is>
      </c>
    </row>
    <row r="22">
      <c r="A22" t="inlineStr"/>
    </row>
    <row r="23">
      <c r="A23" t="inlineStr">
        <is>
          <t>จำนวนงวดที่มีข้อมูลจริงแล้ว (จากทั้งหมด 20 ไตรมาส): ASIA=20, CENTEL=20, DUSIT=20, ERW=20, MANRIN=17, MINT=20, OHTL=20, SHANG=20, SHR=20, VRANDA=20</t>
        </is>
      </c>
    </row>
    <row r="24">
      <c r="A24" t="inlineStr">
        <is>
          <t>ช่องเหลืองที่ยังว่าง = ปี 2564–2567 รอเติมงบ; เติมเมื่อไร อัตราส่วนคำนวณเองทันที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2026-07-24T11:34:50Z</dcterms:created>
  <dcterms:modified xmlns:dcterms="http://purl.org/dc/terms/" xmlns:xsi="http://www.w3.org/2001/XMLSchema-instance" xsi:type="dcterms:W3CDTF">2026-07-24T11:34:50Z</dcterms:modified>
</cp:coreProperties>
</file>